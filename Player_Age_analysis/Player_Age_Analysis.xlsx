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ulation" sheetId="1" state="visible" r:id="rId3"/>
    <sheet name="Random Sample" sheetId="2" state="visible" r:id="rId4"/>
    <sheet name="Descriptive Stats &amp; CI" sheetId="3" state="visible" r:id="rId5"/>
    <sheet name="Midfielder Sample" sheetId="4" state="visible" r:id="rId6"/>
    <sheet name="Age Distribu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<sst xmlns="http://schemas.openxmlformats.org/spreadsheetml/2006/main" count="640" uniqueCount="265">
  <si>
    <t xml:space="preserve">Player Name</t>
  </si>
  <si>
    <t xml:space="preserve">Team</t>
  </si>
  <si>
    <t xml:space="preserve">Position</t>
  </si>
  <si>
    <t xml:space="preserve">Date of Birth</t>
  </si>
  <si>
    <t xml:space="preserve">Matches Started</t>
  </si>
  <si>
    <t xml:space="preserve">Age</t>
  </si>
  <si>
    <t xml:space="preserve">José Raúl Rangel</t>
  </si>
  <si>
    <t xml:space="preserve">Mexico</t>
  </si>
  <si>
    <t xml:space="preserve">GK</t>
  </si>
  <si>
    <t xml:space="preserve">2000-02-25</t>
  </si>
  <si>
    <t xml:space="preserve">Jorge Eduardo Sanchez</t>
  </si>
  <si>
    <t xml:space="preserve">DEF</t>
  </si>
  <si>
    <t xml:space="preserve">1997-12-10</t>
  </si>
  <si>
    <t xml:space="preserve">César Jasib Montes</t>
  </si>
  <si>
    <t xml:space="preserve">1997-02-24</t>
  </si>
  <si>
    <t xml:space="preserve">Edson Omar Alvarez</t>
  </si>
  <si>
    <t xml:space="preserve">1997-10-24</t>
  </si>
  <si>
    <t xml:space="preserve">Johan Felipe Vasquez</t>
  </si>
  <si>
    <t xml:space="preserve">1998-10-22</t>
  </si>
  <si>
    <t xml:space="preserve">Erik Antonio Lira</t>
  </si>
  <si>
    <t xml:space="preserve">MID</t>
  </si>
  <si>
    <t xml:space="preserve">2000-02-08</t>
  </si>
  <si>
    <t xml:space="preserve">Luis Francisco Romo</t>
  </si>
  <si>
    <t xml:space="preserve">1995-06-05</t>
  </si>
  <si>
    <t xml:space="preserve">Álvaro Fidalgo</t>
  </si>
  <si>
    <t xml:space="preserve">1997-04-09</t>
  </si>
  <si>
    <t xml:space="preserve">Raúl Alonso Jimenez</t>
  </si>
  <si>
    <t xml:space="preserve">FWD</t>
  </si>
  <si>
    <t xml:space="preserve">1991-05-05</t>
  </si>
  <si>
    <t xml:space="preserve">Ernesto Alexis Vega</t>
  </si>
  <si>
    <t xml:space="preserve">1997-11-25</t>
  </si>
  <si>
    <t xml:space="preserve">Santiago Tomás Gimenez</t>
  </si>
  <si>
    <t xml:space="preserve">2001-04-18</t>
  </si>
  <si>
    <t xml:space="preserve">Carlos Acevedo</t>
  </si>
  <si>
    <t xml:space="preserve">1996-04-19</t>
  </si>
  <si>
    <t xml:space="preserve">Francisco Guillermo Ochoa</t>
  </si>
  <si>
    <t xml:space="preserve">1985-07-13</t>
  </si>
  <si>
    <t xml:space="preserve">Armando Gonzalez</t>
  </si>
  <si>
    <t xml:space="preserve">2003-05-20</t>
  </si>
  <si>
    <t xml:space="preserve">Israel Reyes</t>
  </si>
  <si>
    <t xml:space="preserve">2000-05-17</t>
  </si>
  <si>
    <t xml:space="preserve">Julián Andrés Quinones</t>
  </si>
  <si>
    <t xml:space="preserve">1997-03-24</t>
  </si>
  <si>
    <t xml:space="preserve">Orbelín Pineda</t>
  </si>
  <si>
    <t xml:space="preserve">1996-03-24</t>
  </si>
  <si>
    <t xml:space="preserve">Obed Goméz Vargas</t>
  </si>
  <si>
    <t xml:space="preserve">2005-08-05</t>
  </si>
  <si>
    <t xml:space="preserve">Gilberto Rafael Mora</t>
  </si>
  <si>
    <t xml:space="preserve">2008-10-14</t>
  </si>
  <si>
    <t xml:space="preserve">Mateo Chavez</t>
  </si>
  <si>
    <t xml:space="preserve">2004-05-12</t>
  </si>
  <si>
    <t xml:space="preserve">César Saúl Huerta</t>
  </si>
  <si>
    <t xml:space="preserve">2000-12-03</t>
  </si>
  <si>
    <t xml:space="preserve">Guillermo Martinez</t>
  </si>
  <si>
    <t xml:space="preserve">1995-03-15</t>
  </si>
  <si>
    <t xml:space="preserve">Jesús Daniel Gallardo</t>
  </si>
  <si>
    <t xml:space="preserve">1994-08-15</t>
  </si>
  <si>
    <t xml:space="preserve">Luis Gerardo Chavez</t>
  </si>
  <si>
    <t xml:space="preserve">1996-01-15</t>
  </si>
  <si>
    <t xml:space="preserve">Roberto Carlos Alvarado</t>
  </si>
  <si>
    <t xml:space="preserve">1998-09-07</t>
  </si>
  <si>
    <t xml:space="preserve">Brian Gutierrez</t>
  </si>
  <si>
    <t xml:space="preserve">2003-06-17</t>
  </si>
  <si>
    <t xml:space="preserve">Ronwen Hayden Williams</t>
  </si>
  <si>
    <t xml:space="preserve">South Africa</t>
  </si>
  <si>
    <t xml:space="preserve">1992-01-21</t>
  </si>
  <si>
    <t xml:space="preserve">Tholo Thabang Matuludi</t>
  </si>
  <si>
    <t xml:space="preserve">1998-12-30</t>
  </si>
  <si>
    <t xml:space="preserve">Khulumani Ndamane</t>
  </si>
  <si>
    <t xml:space="preserve">1997-01-14</t>
  </si>
  <si>
    <t xml:space="preserve">Teboho Mokoena</t>
  </si>
  <si>
    <t xml:space="preserve">1997-01-24</t>
  </si>
  <si>
    <t xml:space="preserve">Thalente Wandile Mbatha</t>
  </si>
  <si>
    <t xml:space="preserve">2000-06-25</t>
  </si>
  <si>
    <t xml:space="preserve">Aubrey Maphosa Modiba</t>
  </si>
  <si>
    <t xml:space="preserve">1995-07-22</t>
  </si>
  <si>
    <t xml:space="preserve">Oswin Reagan Appollis</t>
  </si>
  <si>
    <t xml:space="preserve">2001-08-25</t>
  </si>
  <si>
    <t xml:space="preserve">Tshepang Moremi</t>
  </si>
  <si>
    <t xml:space="preserve">2001-03-14</t>
  </si>
  <si>
    <t xml:space="preserve">Lyle Brent Foster</t>
  </si>
  <si>
    <t xml:space="preserve">2000-09-03</t>
  </si>
  <si>
    <t xml:space="preserve">Relebohile Mofokeng</t>
  </si>
  <si>
    <t xml:space="preserve">2004-10-23</t>
  </si>
  <si>
    <t xml:space="preserve">Themba Zwane</t>
  </si>
  <si>
    <t xml:space="preserve">1989-08-03</t>
  </si>
  <si>
    <t xml:space="preserve">Thapelo Maseko</t>
  </si>
  <si>
    <t xml:space="preserve">2003-11-11</t>
  </si>
  <si>
    <t xml:space="preserve">Sphephelo S'miso Sithole</t>
  </si>
  <si>
    <t xml:space="preserve">1999-03-03</t>
  </si>
  <si>
    <t xml:space="preserve">Mbekezeli Mfanufikile Mbokazi</t>
  </si>
  <si>
    <t xml:space="preserve">2000-04-12</t>
  </si>
  <si>
    <t xml:space="preserve">Iqraam Rayners</t>
  </si>
  <si>
    <t xml:space="preserve">1996-02-26</t>
  </si>
  <si>
    <t xml:space="preserve">Sipho Justin Chaine</t>
  </si>
  <si>
    <t xml:space="preserve">1996-12-14</t>
  </si>
  <si>
    <t xml:space="preserve">Sekotori Evidence Makgopa</t>
  </si>
  <si>
    <t xml:space="preserve">2000-06-05</t>
  </si>
  <si>
    <t xml:space="preserve">Samukele Alucious Kabini</t>
  </si>
  <si>
    <t xml:space="preserve">2003-02-18</t>
  </si>
  <si>
    <t xml:space="preserve">Nkosinathi Emmanuel Sibisi</t>
  </si>
  <si>
    <t xml:space="preserve">1995-09-22</t>
  </si>
  <si>
    <t xml:space="preserve">Khuliso Johnson Mudau</t>
  </si>
  <si>
    <t xml:space="preserve">1995-04-26</t>
  </si>
  <si>
    <t xml:space="preserve">Ime Daniel Okon</t>
  </si>
  <si>
    <t xml:space="preserve">2004-02-20</t>
  </si>
  <si>
    <t xml:space="preserve">Stuart Ricardo Goss</t>
  </si>
  <si>
    <t xml:space="preserve">1994-04-28</t>
  </si>
  <si>
    <t xml:space="preserve">Jayden Oswin Adams</t>
  </si>
  <si>
    <t xml:space="preserve">2001-05-05</t>
  </si>
  <si>
    <t xml:space="preserve">Olwethu Mpilwenhle Makhanya</t>
  </si>
  <si>
    <t xml:space="preserve">2004-04-30</t>
  </si>
  <si>
    <t xml:space="preserve">Kamogelo Michael Sebelebele</t>
  </si>
  <si>
    <t xml:space="preserve">2002-01-12</t>
  </si>
  <si>
    <t xml:space="preserve">Bradley Paul Cross</t>
  </si>
  <si>
    <t xml:space="preserve">2001-05-30</t>
  </si>
  <si>
    <t xml:space="preserve">Seunggyu Kim</t>
  </si>
  <si>
    <t xml:space="preserve">South Korea</t>
  </si>
  <si>
    <t xml:space="preserve">1990-09-30</t>
  </si>
  <si>
    <t xml:space="preserve">Hanbeom Lee</t>
  </si>
  <si>
    <t xml:space="preserve">2002-06-17</t>
  </si>
  <si>
    <t xml:space="preserve">Gihyuk Lee</t>
  </si>
  <si>
    <t xml:space="preserve">2001-03-21</t>
  </si>
  <si>
    <t xml:space="preserve">Minjae Kim</t>
  </si>
  <si>
    <t xml:space="preserve">1996-11-15</t>
  </si>
  <si>
    <t xml:space="preserve">Taehyeon Kim</t>
  </si>
  <si>
    <t xml:space="preserve">2000-09-17</t>
  </si>
  <si>
    <t xml:space="preserve">Inbeom Hwang</t>
  </si>
  <si>
    <t xml:space="preserve">1996-08-28</t>
  </si>
  <si>
    <t xml:space="preserve">Heung Min Son</t>
  </si>
  <si>
    <t xml:space="preserve">1992-07-08</t>
  </si>
  <si>
    <t xml:space="preserve">Seungho Paik</t>
  </si>
  <si>
    <t xml:space="preserve">1997-03-17</t>
  </si>
  <si>
    <t xml:space="preserve">Guesung Cho</t>
  </si>
  <si>
    <t xml:space="preserve">1998-01-25</t>
  </si>
  <si>
    <t xml:space="preserve">Jae Sung Lee</t>
  </si>
  <si>
    <t xml:space="preserve">1992-08-10</t>
  </si>
  <si>
    <t xml:space="preserve">Hee Chan Hwang</t>
  </si>
  <si>
    <t xml:space="preserve">1996-01-26</t>
  </si>
  <si>
    <t xml:space="preserve">Bumkeun Song</t>
  </si>
  <si>
    <t xml:space="preserve">1997-10-15</t>
  </si>
  <si>
    <t xml:space="preserve">Taeseok Lee</t>
  </si>
  <si>
    <t xml:space="preserve">2002-12-28</t>
  </si>
  <si>
    <t xml:space="preserve">Wije Cho</t>
  </si>
  <si>
    <t xml:space="preserve">2004-01-10</t>
  </si>
  <si>
    <t xml:space="preserve">Moonhwan Kim</t>
  </si>
  <si>
    <t xml:space="preserve">1995-08-01</t>
  </si>
  <si>
    <t xml:space="preserve">Jinseob Park</t>
  </si>
  <si>
    <t xml:space="preserve">1999-01-01</t>
  </si>
  <si>
    <t xml:space="preserve">Junho Bae</t>
  </si>
  <si>
    <t xml:space="preserve">2003-12-17</t>
  </si>
  <si>
    <t xml:space="preserve">Hyeongyu Oh</t>
  </si>
  <si>
    <t xml:space="preserve">2001-04-06</t>
  </si>
  <si>
    <t xml:space="preserve">Kangin Lee</t>
  </si>
  <si>
    <t xml:space="preserve">2001-02-19</t>
  </si>
  <si>
    <t xml:space="preserve">Hyunjun Yang</t>
  </si>
  <si>
    <t xml:space="preserve">2002-05-31</t>
  </si>
  <si>
    <t xml:space="preserve">Hyeonwoo Jo</t>
  </si>
  <si>
    <t xml:space="preserve">1991-09-25</t>
  </si>
  <si>
    <t xml:space="preserve">Youngwoo Seol</t>
  </si>
  <si>
    <t xml:space="preserve">1998-06-24</t>
  </si>
  <si>
    <t xml:space="preserve">Jens Castrop</t>
  </si>
  <si>
    <t xml:space="preserve">2003-07-29</t>
  </si>
  <si>
    <t xml:space="preserve">Jingyu Kim</t>
  </si>
  <si>
    <t xml:space="preserve">1999-08-24</t>
  </si>
  <si>
    <t xml:space="preserve">Jisung Eom</t>
  </si>
  <si>
    <t xml:space="preserve">2002-05-09</t>
  </si>
  <si>
    <t xml:space="preserve">Donggyeong Lee</t>
  </si>
  <si>
    <t xml:space="preserve">1997-09-05</t>
  </si>
  <si>
    <t xml:space="preserve">Matěj Kovar</t>
  </si>
  <si>
    <t xml:space="preserve">Czechia</t>
  </si>
  <si>
    <t xml:space="preserve">David Zima</t>
  </si>
  <si>
    <t xml:space="preserve">2000-11-08</t>
  </si>
  <si>
    <t xml:space="preserve">Tomáš Holes</t>
  </si>
  <si>
    <t xml:space="preserve">1993-03-31</t>
  </si>
  <si>
    <t xml:space="preserve">Robin Hranac</t>
  </si>
  <si>
    <t xml:space="preserve">2000-01-29</t>
  </si>
  <si>
    <t xml:space="preserve">Vladimír Coufal</t>
  </si>
  <si>
    <t xml:space="preserve">1992-08-22</t>
  </si>
  <si>
    <t xml:space="preserve">Štěpán Chaloupek</t>
  </si>
  <si>
    <t xml:space="preserve">2003-03-08</t>
  </si>
  <si>
    <t xml:space="preserve">Ladislav Krejci</t>
  </si>
  <si>
    <t xml:space="preserve">1999-04-20</t>
  </si>
  <si>
    <t xml:space="preserve">Vladimír Darida</t>
  </si>
  <si>
    <t xml:space="preserve">1990-08-08</t>
  </si>
  <si>
    <t xml:space="preserve">Adam Hlozek</t>
  </si>
  <si>
    <t xml:space="preserve">2002-07-25</t>
  </si>
  <si>
    <t xml:space="preserve">Patrik Schick</t>
  </si>
  <si>
    <t xml:space="preserve">1996-01-24</t>
  </si>
  <si>
    <t xml:space="preserve">Jan Kuchta</t>
  </si>
  <si>
    <t xml:space="preserve">1997-01-05</t>
  </si>
  <si>
    <t xml:space="preserve">Lukáš Cerv</t>
  </si>
  <si>
    <t xml:space="preserve">2001-04-10</t>
  </si>
  <si>
    <t xml:space="preserve">Mojmír Chytil</t>
  </si>
  <si>
    <t xml:space="preserve">1999-04-29</t>
  </si>
  <si>
    <t xml:space="preserve">David Jurasek</t>
  </si>
  <si>
    <t xml:space="preserve">2002-08-07</t>
  </si>
  <si>
    <t xml:space="preserve">Pavel Sulc</t>
  </si>
  <si>
    <t xml:space="preserve">2000-12-29</t>
  </si>
  <si>
    <t xml:space="preserve">Jindřich Stanek</t>
  </si>
  <si>
    <t xml:space="preserve">1996-04-27</t>
  </si>
  <si>
    <t xml:space="preserve">Lukáš Provod</t>
  </si>
  <si>
    <t xml:space="preserve">1996-10-23</t>
  </si>
  <si>
    <t xml:space="preserve">Michal Sadilek</t>
  </si>
  <si>
    <t xml:space="preserve">1999-05-31</t>
  </si>
  <si>
    <t xml:space="preserve">Tomáš Chory</t>
  </si>
  <si>
    <t xml:space="preserve">1995-01-26</t>
  </si>
  <si>
    <t xml:space="preserve">Jaroslav Zeleny</t>
  </si>
  <si>
    <t xml:space="preserve">1992-08-20</t>
  </si>
  <si>
    <t xml:space="preserve">David Doudera</t>
  </si>
  <si>
    <t xml:space="preserve">1998-05-31</t>
  </si>
  <si>
    <t xml:space="preserve">Tomáš Soucek</t>
  </si>
  <si>
    <t xml:space="preserve">1995-03-22</t>
  </si>
  <si>
    <t xml:space="preserve">Lukáš Hornicek</t>
  </si>
  <si>
    <t xml:space="preserve">2002-07-13</t>
  </si>
  <si>
    <t xml:space="preserve">Alexandr Sojka</t>
  </si>
  <si>
    <t xml:space="preserve">2002-04-09</t>
  </si>
  <si>
    <t xml:space="preserve">Hugo Sochurek</t>
  </si>
  <si>
    <t xml:space="preserve">2008-06-07</t>
  </si>
  <si>
    <t xml:space="preserve">Denis Visinsky</t>
  </si>
  <si>
    <t xml:space="preserve">2003-04-22</t>
  </si>
  <si>
    <t xml:space="preserve">Dayne Tristan St. Clair</t>
  </si>
  <si>
    <t xml:space="preserve">Canada</t>
  </si>
  <si>
    <t xml:space="preserve">1997-05-09</t>
  </si>
  <si>
    <t xml:space="preserve">Alistair William Johnston</t>
  </si>
  <si>
    <t xml:space="preserve">1998-10-08</t>
  </si>
  <si>
    <t xml:space="preserve">Alfie Charles Jones</t>
  </si>
  <si>
    <t xml:space="preserve">1997-10-07</t>
  </si>
  <si>
    <t xml:space="preserve">Luc De Fougerolles</t>
  </si>
  <si>
    <t xml:space="preserve">2005-10-12</t>
  </si>
  <si>
    <t xml:space="preserve">Sample size (n)</t>
  </si>
  <si>
    <t xml:space="preserve">FIFA World Cup 2026 — Player Age Analysis</t>
  </si>
  <si>
    <t xml:space="preserve">Descriptive Statistics (Sample)</t>
  </si>
  <si>
    <t xml:space="preserve">Mean age</t>
  </si>
  <si>
    <t xml:space="preserve">Median age</t>
  </si>
  <si>
    <t xml:space="preserve">Std deviation</t>
  </si>
  <si>
    <t xml:space="preserve">Variance</t>
  </si>
  <si>
    <t xml:space="preserve">Min age</t>
  </si>
  <si>
    <t xml:space="preserve">Max age</t>
  </si>
  <si>
    <t xml:space="preserve">Range</t>
  </si>
  <si>
    <t xml:space="preserve">95% Confidence Interval for Population Mean Age</t>
  </si>
  <si>
    <t xml:space="preserve">Confidence level</t>
  </si>
  <si>
    <t xml:space="preserve">Standard Error (SEM)</t>
  </si>
  <si>
    <t xml:space="preserve">t critical (df=n-1)</t>
  </si>
  <si>
    <t xml:space="preserve">Margin of Error</t>
  </si>
  <si>
    <t xml:space="preserve">CI Lower Bound</t>
  </si>
  <si>
    <t xml:space="preserve">CI Upper Bound</t>
  </si>
  <si>
    <t xml:space="preserve">One-Sample t-Test: Midfielders vs Defenders</t>
  </si>
  <si>
    <t xml:space="preserve">H0: mean age of Midfielders (sample) = mean age of Defenders (population)</t>
  </si>
  <si>
    <t xml:space="preserve">mu0 = Defender population mean age (N=38)</t>
  </si>
  <si>
    <t xml:space="preserve">Midfielder sample n</t>
  </si>
  <si>
    <t xml:space="preserve">Midfielder sample mean</t>
  </si>
  <si>
    <t xml:space="preserve">Midfielder sample std dev</t>
  </si>
  <si>
    <t xml:space="preserve">t-statistic</t>
  </si>
  <si>
    <t xml:space="preserve">Degrees of freedom</t>
  </si>
  <si>
    <t xml:space="preserve">p-value (two-tailed)</t>
  </si>
  <si>
    <t xml:space="preserve">Conclusion (alpha=0.05)</t>
  </si>
  <si>
    <t xml:space="preserve">Age Group</t>
  </si>
  <si>
    <t xml:space="preserve">Count</t>
  </si>
  <si>
    <t xml:space="preserve">17-20</t>
  </si>
  <si>
    <t xml:space="preserve">21-24</t>
  </si>
  <si>
    <t xml:space="preserve">25-28</t>
  </si>
  <si>
    <t xml:space="preserve">29-32</t>
  </si>
  <si>
    <t xml:space="preserve">33-36</t>
  </si>
  <si>
    <t xml:space="preserve">37-40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</si>
</sst>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Distribution of Sampled Players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'Age Distribution'!B1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Distribution'!$A$2:$A$7</c:f>
              <c:strCache>
                <c:ptCount val="6"/>
                <c:pt idx="0">
                  <c:v>17-20</c:v>
                </c:pt>
                <c:pt idx="1">
                  <c:v>21-24</c:v>
                </c:pt>
                <c:pt idx="2">
                  <c:v>25-28</c:v>
                </c:pt>
                <c:pt idx="3">
                  <c:v>29-32</c:v>
                </c:pt>
                <c:pt idx="4">
                  <c:v>33-36</c:v>
                </c:pt>
                <c:pt idx="5">
                  <c:v>37-40</c:v>
                </c:pt>
              </c:strCache>
            </c:strRef>
          </c:cat>
          <c:val>
            <c:numRef>
              <c:f>'Age Distribution'!$B$2:$B$7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17</c:v>
                </c:pt>
                <c:pt idx="3">
                  <c:v>12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60007487"/>
        <c:axId val="95114102"/>
      </c:barChart>
      <c:catAx>
        <c:axId val="60007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14102"/>
        <c:crosses val="autoZero"/>
        <c:auto val="1"/>
        <c:lblAlgn val="ctr"/>
        <c:lblOffset val="100"/>
        <c:noMultiLvlLbl val="0"/>
      </c:catAx>
      <c:valAx>
        <c:axId val="95114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Players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07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183456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5</v>
      </c>
      <c r="F2" s="2" t="n">
        <v>26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D3" s="2" t="s">
        <v>12</v>
      </c>
      <c r="E3" s="2" t="n">
        <v>5</v>
      </c>
      <c r="F3" s="2" t="n">
        <v>28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11</v>
      </c>
      <c r="D4" s="2" t="s">
        <v>14</v>
      </c>
      <c r="E4" s="2" t="n">
        <v>2</v>
      </c>
      <c r="F4" s="2" t="n">
        <v>29</v>
      </c>
    </row>
    <row r="5" customFormat="false" ht="15" hidden="false" customHeight="false" outlineLevel="0" collapsed="false">
      <c r="A5" s="2" t="s">
        <v>15</v>
      </c>
      <c r="B5" s="2" t="s">
        <v>7</v>
      </c>
      <c r="C5" s="2" t="s">
        <v>11</v>
      </c>
      <c r="D5" s="2" t="s">
        <v>16</v>
      </c>
      <c r="E5" s="2" t="n">
        <v>0</v>
      </c>
      <c r="F5" s="2" t="n">
        <v>28</v>
      </c>
    </row>
    <row r="6" customFormat="false" ht="15" hidden="false" customHeight="false" outlineLevel="0" collapsed="false">
      <c r="A6" s="2" t="s">
        <v>17</v>
      </c>
      <c r="B6" s="2" t="s">
        <v>7</v>
      </c>
      <c r="C6" s="2" t="s">
        <v>11</v>
      </c>
      <c r="D6" s="2" t="s">
        <v>18</v>
      </c>
      <c r="E6" s="2" t="n">
        <v>2</v>
      </c>
      <c r="F6" s="2" t="n">
        <v>27</v>
      </c>
    </row>
    <row r="7" customFormat="false" ht="15" hidden="false" customHeight="false" outlineLevel="0" collapsed="false">
      <c r="A7" s="2" t="s">
        <v>19</v>
      </c>
      <c r="B7" s="2" t="s">
        <v>7</v>
      </c>
      <c r="C7" s="2" t="s">
        <v>20</v>
      </c>
      <c r="D7" s="2" t="s">
        <v>21</v>
      </c>
      <c r="E7" s="2" t="n">
        <v>5</v>
      </c>
      <c r="F7" s="2" t="n">
        <v>26</v>
      </c>
    </row>
    <row r="8" customFormat="false" ht="15" hidden="false" customHeight="false" outlineLevel="0" collapsed="false">
      <c r="A8" s="2" t="s">
        <v>22</v>
      </c>
      <c r="B8" s="2" t="s">
        <v>7</v>
      </c>
      <c r="C8" s="2" t="s">
        <v>20</v>
      </c>
      <c r="D8" s="2" t="s">
        <v>23</v>
      </c>
      <c r="E8" s="2" t="n">
        <v>2</v>
      </c>
      <c r="F8" s="2" t="n">
        <v>31</v>
      </c>
    </row>
    <row r="9" customFormat="false" ht="15" hidden="false" customHeight="false" outlineLevel="0" collapsed="false">
      <c r="A9" s="2" t="s">
        <v>24</v>
      </c>
      <c r="B9" s="2" t="s">
        <v>7</v>
      </c>
      <c r="C9" s="2" t="s">
        <v>20</v>
      </c>
      <c r="D9" s="2" t="s">
        <v>25</v>
      </c>
      <c r="E9" s="2" t="n">
        <v>0</v>
      </c>
      <c r="F9" s="2" t="n">
        <v>29</v>
      </c>
    </row>
    <row r="10" customFormat="false" ht="15" hidden="false" customHeight="false" outlineLevel="0" collapsed="false">
      <c r="A10" s="2" t="s">
        <v>26</v>
      </c>
      <c r="B10" s="2" t="s">
        <v>7</v>
      </c>
      <c r="C10" s="2" t="s">
        <v>27</v>
      </c>
      <c r="D10" s="2" t="s">
        <v>28</v>
      </c>
      <c r="E10" s="2" t="n">
        <v>2</v>
      </c>
      <c r="F10" s="2" t="n">
        <v>35</v>
      </c>
    </row>
    <row r="11" customFormat="false" ht="15" hidden="false" customHeight="false" outlineLevel="0" collapsed="false">
      <c r="A11" s="2" t="s">
        <v>29</v>
      </c>
      <c r="B11" s="2" t="s">
        <v>7</v>
      </c>
      <c r="C11" s="2" t="s">
        <v>27</v>
      </c>
      <c r="D11" s="2" t="s">
        <v>30</v>
      </c>
      <c r="E11" s="2" t="n">
        <v>0</v>
      </c>
      <c r="F11" s="2" t="n">
        <v>28</v>
      </c>
    </row>
    <row r="12" customFormat="false" ht="15" hidden="false" customHeight="false" outlineLevel="0" collapsed="false">
      <c r="A12" s="2" t="s">
        <v>31</v>
      </c>
      <c r="B12" s="2" t="s">
        <v>7</v>
      </c>
      <c r="C12" s="2" t="s">
        <v>27</v>
      </c>
      <c r="D12" s="2" t="s">
        <v>32</v>
      </c>
      <c r="E12" s="2" t="n">
        <v>3</v>
      </c>
      <c r="F12" s="2" t="n">
        <v>25</v>
      </c>
    </row>
    <row r="13" customFormat="false" ht="15" hidden="false" customHeight="false" outlineLevel="0" collapsed="false">
      <c r="A13" s="2" t="s">
        <v>33</v>
      </c>
      <c r="B13" s="2" t="s">
        <v>7</v>
      </c>
      <c r="C13" s="2" t="s">
        <v>8</v>
      </c>
      <c r="D13" s="2" t="s">
        <v>34</v>
      </c>
      <c r="E13" s="2" t="n">
        <v>0</v>
      </c>
      <c r="F13" s="2" t="n">
        <v>30</v>
      </c>
    </row>
    <row r="14" customFormat="false" ht="15" hidden="false" customHeight="false" outlineLevel="0" collapsed="false">
      <c r="A14" s="2" t="s">
        <v>35</v>
      </c>
      <c r="B14" s="2" t="s">
        <v>7</v>
      </c>
      <c r="C14" s="2" t="s">
        <v>8</v>
      </c>
      <c r="D14" s="2" t="s">
        <v>36</v>
      </c>
      <c r="E14" s="2" t="n">
        <v>0</v>
      </c>
      <c r="F14" s="2" t="n">
        <v>40</v>
      </c>
    </row>
    <row r="15" customFormat="false" ht="15" hidden="false" customHeight="false" outlineLevel="0" collapsed="false">
      <c r="A15" s="2" t="s">
        <v>37</v>
      </c>
      <c r="B15" s="2" t="s">
        <v>7</v>
      </c>
      <c r="C15" s="2" t="s">
        <v>27</v>
      </c>
      <c r="D15" s="2" t="s">
        <v>38</v>
      </c>
      <c r="E15" s="2" t="n">
        <v>0</v>
      </c>
      <c r="F15" s="2" t="n">
        <v>23</v>
      </c>
    </row>
    <row r="16" customFormat="false" ht="15" hidden="false" customHeight="false" outlineLevel="0" collapsed="false">
      <c r="A16" s="2" t="s">
        <v>39</v>
      </c>
      <c r="B16" s="2" t="s">
        <v>7</v>
      </c>
      <c r="C16" s="2" t="s">
        <v>11</v>
      </c>
      <c r="D16" s="2" t="s">
        <v>40</v>
      </c>
      <c r="E16" s="2" t="n">
        <v>3</v>
      </c>
      <c r="F16" s="2" t="n">
        <v>26</v>
      </c>
    </row>
    <row r="17" customFormat="false" ht="15" hidden="false" customHeight="false" outlineLevel="0" collapsed="false">
      <c r="A17" s="2" t="s">
        <v>41</v>
      </c>
      <c r="B17" s="2" t="s">
        <v>7</v>
      </c>
      <c r="C17" s="2" t="s">
        <v>27</v>
      </c>
      <c r="D17" s="2" t="s">
        <v>42</v>
      </c>
      <c r="E17" s="2" t="n">
        <v>2</v>
      </c>
      <c r="F17" s="2" t="n">
        <v>29</v>
      </c>
    </row>
    <row r="18" customFormat="false" ht="15" hidden="false" customHeight="false" outlineLevel="0" collapsed="false">
      <c r="A18" s="2" t="s">
        <v>43</v>
      </c>
      <c r="B18" s="2" t="s">
        <v>7</v>
      </c>
      <c r="C18" s="2" t="s">
        <v>20</v>
      </c>
      <c r="D18" s="2" t="s">
        <v>44</v>
      </c>
      <c r="E18" s="2" t="n">
        <v>3</v>
      </c>
      <c r="F18" s="2" t="n">
        <v>30</v>
      </c>
    </row>
    <row r="19" customFormat="false" ht="15" hidden="false" customHeight="false" outlineLevel="0" collapsed="false">
      <c r="A19" s="2" t="s">
        <v>45</v>
      </c>
      <c r="B19" s="2" t="s">
        <v>7</v>
      </c>
      <c r="C19" s="2" t="s">
        <v>20</v>
      </c>
      <c r="D19" s="2" t="s">
        <v>46</v>
      </c>
      <c r="E19" s="2" t="n">
        <v>0</v>
      </c>
      <c r="F19" s="2" t="n">
        <v>20</v>
      </c>
    </row>
    <row r="20" customFormat="false" ht="15" hidden="false" customHeight="false" outlineLevel="0" collapsed="false">
      <c r="A20" s="2" t="s">
        <v>47</v>
      </c>
      <c r="B20" s="2" t="s">
        <v>7</v>
      </c>
      <c r="C20" s="2" t="s">
        <v>20</v>
      </c>
      <c r="D20" s="2" t="s">
        <v>48</v>
      </c>
      <c r="E20" s="2" t="n">
        <v>5</v>
      </c>
      <c r="F20" s="2" t="n">
        <v>17</v>
      </c>
    </row>
    <row r="21" customFormat="false" ht="15" hidden="false" customHeight="false" outlineLevel="0" collapsed="false">
      <c r="A21" s="2" t="s">
        <v>49</v>
      </c>
      <c r="B21" s="2" t="s">
        <v>7</v>
      </c>
      <c r="C21" s="2" t="s">
        <v>11</v>
      </c>
      <c r="D21" s="2" t="s">
        <v>50</v>
      </c>
      <c r="E21" s="2" t="n">
        <v>3</v>
      </c>
      <c r="F21" s="2" t="n">
        <v>22</v>
      </c>
    </row>
    <row r="22" customFormat="false" ht="15" hidden="false" customHeight="false" outlineLevel="0" collapsed="false">
      <c r="A22" s="2" t="s">
        <v>51</v>
      </c>
      <c r="B22" s="2" t="s">
        <v>7</v>
      </c>
      <c r="C22" s="2" t="s">
        <v>27</v>
      </c>
      <c r="D22" s="2" t="s">
        <v>52</v>
      </c>
      <c r="E22" s="2" t="n">
        <v>0</v>
      </c>
      <c r="F22" s="2" t="n">
        <v>25</v>
      </c>
    </row>
    <row r="23" customFormat="false" ht="15" hidden="false" customHeight="false" outlineLevel="0" collapsed="false">
      <c r="A23" s="2" t="s">
        <v>53</v>
      </c>
      <c r="B23" s="2" t="s">
        <v>7</v>
      </c>
      <c r="C23" s="2" t="s">
        <v>27</v>
      </c>
      <c r="D23" s="2" t="s">
        <v>54</v>
      </c>
      <c r="E23" s="2" t="n">
        <v>3</v>
      </c>
      <c r="F23" s="2" t="n">
        <v>31</v>
      </c>
    </row>
    <row r="24" customFormat="false" ht="15" hidden="false" customHeight="false" outlineLevel="0" collapsed="false">
      <c r="A24" s="2" t="s">
        <v>55</v>
      </c>
      <c r="B24" s="2" t="s">
        <v>7</v>
      </c>
      <c r="C24" s="2" t="s">
        <v>11</v>
      </c>
      <c r="D24" s="2" t="s">
        <v>56</v>
      </c>
      <c r="E24" s="2" t="n">
        <v>5</v>
      </c>
      <c r="F24" s="2" t="n">
        <v>31</v>
      </c>
    </row>
    <row r="25" customFormat="false" ht="15" hidden="false" customHeight="false" outlineLevel="0" collapsed="false">
      <c r="A25" s="2" t="s">
        <v>57</v>
      </c>
      <c r="B25" s="2" t="s">
        <v>7</v>
      </c>
      <c r="C25" s="2" t="s">
        <v>20</v>
      </c>
      <c r="D25" s="2" t="s">
        <v>58</v>
      </c>
      <c r="E25" s="2" t="n">
        <v>3</v>
      </c>
      <c r="F25" s="2" t="n">
        <v>30</v>
      </c>
    </row>
    <row r="26" customFormat="false" ht="15" hidden="false" customHeight="false" outlineLevel="0" collapsed="false">
      <c r="A26" s="2" t="s">
        <v>59</v>
      </c>
      <c r="B26" s="2" t="s">
        <v>7</v>
      </c>
      <c r="C26" s="2" t="s">
        <v>27</v>
      </c>
      <c r="D26" s="2" t="s">
        <v>60</v>
      </c>
      <c r="E26" s="2" t="n">
        <v>2</v>
      </c>
      <c r="F26" s="2" t="n">
        <v>27</v>
      </c>
    </row>
    <row r="27" customFormat="false" ht="15" hidden="false" customHeight="false" outlineLevel="0" collapsed="false">
      <c r="A27" s="2" t="s">
        <v>61</v>
      </c>
      <c r="B27" s="2" t="s">
        <v>7</v>
      </c>
      <c r="C27" s="2" t="s">
        <v>20</v>
      </c>
      <c r="D27" s="2" t="s">
        <v>62</v>
      </c>
      <c r="E27" s="2" t="n">
        <v>0</v>
      </c>
      <c r="F27" s="2" t="n">
        <v>22</v>
      </c>
    </row>
    <row r="28" customFormat="false" ht="15" hidden="false" customHeight="false" outlineLevel="0" collapsed="false">
      <c r="A28" s="2" t="s">
        <v>63</v>
      </c>
      <c r="B28" s="2" t="s">
        <v>64</v>
      </c>
      <c r="C28" s="2" t="s">
        <v>8</v>
      </c>
      <c r="D28" s="2" t="s">
        <v>65</v>
      </c>
      <c r="E28" s="2" t="n">
        <v>4</v>
      </c>
      <c r="F28" s="2" t="n">
        <v>34</v>
      </c>
    </row>
    <row r="29" customFormat="false" ht="15" hidden="false" customHeight="false" outlineLevel="0" collapsed="false">
      <c r="A29" s="2" t="s">
        <v>66</v>
      </c>
      <c r="B29" s="2" t="s">
        <v>64</v>
      </c>
      <c r="C29" s="2" t="s">
        <v>11</v>
      </c>
      <c r="D29" s="2" t="s">
        <v>67</v>
      </c>
      <c r="E29" s="2" t="n">
        <v>0</v>
      </c>
      <c r="F29" s="2" t="n">
        <v>27</v>
      </c>
    </row>
    <row r="30" customFormat="false" ht="15" hidden="false" customHeight="false" outlineLevel="0" collapsed="false">
      <c r="A30" s="2" t="s">
        <v>68</v>
      </c>
      <c r="B30" s="2" t="s">
        <v>64</v>
      </c>
      <c r="C30" s="2" t="s">
        <v>11</v>
      </c>
      <c r="D30" s="2" t="s">
        <v>69</v>
      </c>
      <c r="E30" s="2" t="n">
        <v>0</v>
      </c>
      <c r="F30" s="2" t="n">
        <v>29</v>
      </c>
    </row>
    <row r="31" customFormat="false" ht="15" hidden="false" customHeight="false" outlineLevel="0" collapsed="false">
      <c r="A31" s="2" t="s">
        <v>70</v>
      </c>
      <c r="B31" s="2" t="s">
        <v>64</v>
      </c>
      <c r="C31" s="2" t="s">
        <v>20</v>
      </c>
      <c r="D31" s="2" t="s">
        <v>71</v>
      </c>
      <c r="E31" s="2" t="n">
        <v>3</v>
      </c>
      <c r="F31" s="2" t="n">
        <v>29</v>
      </c>
    </row>
    <row r="32" customFormat="false" ht="15" hidden="false" customHeight="false" outlineLevel="0" collapsed="false">
      <c r="A32" s="2" t="s">
        <v>72</v>
      </c>
      <c r="B32" s="2" t="s">
        <v>64</v>
      </c>
      <c r="C32" s="2" t="s">
        <v>20</v>
      </c>
      <c r="D32" s="2" t="s">
        <v>73</v>
      </c>
      <c r="E32" s="2" t="n">
        <v>2</v>
      </c>
      <c r="F32" s="2" t="n">
        <v>25</v>
      </c>
    </row>
    <row r="33" customFormat="false" ht="15" hidden="false" customHeight="false" outlineLevel="0" collapsed="false">
      <c r="A33" s="2" t="s">
        <v>74</v>
      </c>
      <c r="B33" s="2" t="s">
        <v>64</v>
      </c>
      <c r="C33" s="2" t="s">
        <v>11</v>
      </c>
      <c r="D33" s="2" t="s">
        <v>75</v>
      </c>
      <c r="E33" s="2" t="n">
        <v>4</v>
      </c>
      <c r="F33" s="2" t="n">
        <v>30</v>
      </c>
    </row>
    <row r="34" customFormat="false" ht="15" hidden="false" customHeight="false" outlineLevel="0" collapsed="false">
      <c r="A34" s="2" t="s">
        <v>76</v>
      </c>
      <c r="B34" s="2" t="s">
        <v>64</v>
      </c>
      <c r="C34" s="2" t="s">
        <v>27</v>
      </c>
      <c r="D34" s="2" t="s">
        <v>77</v>
      </c>
      <c r="E34" s="2" t="n">
        <v>3</v>
      </c>
      <c r="F34" s="2" t="n">
        <v>24</v>
      </c>
    </row>
    <row r="35" customFormat="false" ht="15" hidden="false" customHeight="false" outlineLevel="0" collapsed="false">
      <c r="A35" s="2" t="s">
        <v>78</v>
      </c>
      <c r="B35" s="2" t="s">
        <v>64</v>
      </c>
      <c r="C35" s="2" t="s">
        <v>27</v>
      </c>
      <c r="D35" s="2" t="s">
        <v>79</v>
      </c>
      <c r="E35" s="2" t="n">
        <v>0</v>
      </c>
      <c r="F35" s="2" t="n">
        <v>25</v>
      </c>
    </row>
    <row r="36" customFormat="false" ht="15" hidden="false" customHeight="false" outlineLevel="0" collapsed="false">
      <c r="A36" s="2" t="s">
        <v>80</v>
      </c>
      <c r="B36" s="2" t="s">
        <v>64</v>
      </c>
      <c r="C36" s="2" t="s">
        <v>27</v>
      </c>
      <c r="D36" s="2" t="s">
        <v>81</v>
      </c>
      <c r="E36" s="2" t="n">
        <v>1</v>
      </c>
      <c r="F36" s="2" t="n">
        <v>25</v>
      </c>
    </row>
    <row r="37" customFormat="false" ht="15" hidden="false" customHeight="false" outlineLevel="0" collapsed="false">
      <c r="A37" s="2" t="s">
        <v>82</v>
      </c>
      <c r="B37" s="2" t="s">
        <v>64</v>
      </c>
      <c r="C37" s="2" t="s">
        <v>27</v>
      </c>
      <c r="D37" s="2" t="s">
        <v>83</v>
      </c>
      <c r="E37" s="2" t="n">
        <v>2</v>
      </c>
      <c r="F37" s="2" t="n">
        <v>21</v>
      </c>
    </row>
    <row r="38" customFormat="false" ht="15" hidden="false" customHeight="false" outlineLevel="0" collapsed="false">
      <c r="A38" s="2" t="s">
        <v>84</v>
      </c>
      <c r="B38" s="2" t="s">
        <v>64</v>
      </c>
      <c r="C38" s="2" t="s">
        <v>20</v>
      </c>
      <c r="D38" s="2" t="s">
        <v>85</v>
      </c>
      <c r="E38" s="2" t="n">
        <v>0</v>
      </c>
      <c r="F38" s="2" t="n">
        <v>36</v>
      </c>
    </row>
    <row r="39" customFormat="false" ht="15" hidden="false" customHeight="false" outlineLevel="0" collapsed="false">
      <c r="A39" s="2" t="s">
        <v>86</v>
      </c>
      <c r="B39" s="2" t="s">
        <v>64</v>
      </c>
      <c r="C39" s="2" t="s">
        <v>27</v>
      </c>
      <c r="D39" s="2" t="s">
        <v>87</v>
      </c>
      <c r="E39" s="2" t="n">
        <v>3</v>
      </c>
      <c r="F39" s="2" t="n">
        <v>22</v>
      </c>
    </row>
    <row r="40" customFormat="false" ht="15" hidden="false" customHeight="false" outlineLevel="0" collapsed="false">
      <c r="A40" s="2" t="s">
        <v>88</v>
      </c>
      <c r="B40" s="2" t="s">
        <v>64</v>
      </c>
      <c r="C40" s="2" t="s">
        <v>20</v>
      </c>
      <c r="D40" s="2" t="s">
        <v>89</v>
      </c>
      <c r="E40" s="2" t="n">
        <v>3</v>
      </c>
      <c r="F40" s="2" t="n">
        <v>27</v>
      </c>
    </row>
    <row r="41" customFormat="false" ht="15" hidden="false" customHeight="false" outlineLevel="0" collapsed="false">
      <c r="A41" s="2" t="s">
        <v>90</v>
      </c>
      <c r="B41" s="2" t="s">
        <v>64</v>
      </c>
      <c r="C41" s="2" t="s">
        <v>11</v>
      </c>
      <c r="D41" s="2" t="s">
        <v>91</v>
      </c>
      <c r="E41" s="2" t="n">
        <v>4</v>
      </c>
      <c r="F41" s="2" t="n">
        <v>26</v>
      </c>
    </row>
    <row r="42" customFormat="false" ht="15" hidden="false" customHeight="false" outlineLevel="0" collapsed="false">
      <c r="A42" s="2" t="s">
        <v>92</v>
      </c>
      <c r="B42" s="2" t="s">
        <v>64</v>
      </c>
      <c r="C42" s="2" t="s">
        <v>27</v>
      </c>
      <c r="D42" s="2" t="s">
        <v>93</v>
      </c>
      <c r="E42" s="2" t="n">
        <v>2</v>
      </c>
      <c r="F42" s="2" t="n">
        <v>30</v>
      </c>
    </row>
    <row r="43" customFormat="false" ht="15" hidden="false" customHeight="false" outlineLevel="0" collapsed="false">
      <c r="A43" s="2" t="s">
        <v>94</v>
      </c>
      <c r="B43" s="2" t="s">
        <v>64</v>
      </c>
      <c r="C43" s="2" t="s">
        <v>8</v>
      </c>
      <c r="D43" s="2" t="s">
        <v>95</v>
      </c>
      <c r="E43" s="2" t="n">
        <v>0</v>
      </c>
      <c r="F43" s="2" t="n">
        <v>29</v>
      </c>
    </row>
    <row r="44" customFormat="false" ht="15" hidden="false" customHeight="false" outlineLevel="0" collapsed="false">
      <c r="A44" s="2" t="s">
        <v>96</v>
      </c>
      <c r="B44" s="2" t="s">
        <v>64</v>
      </c>
      <c r="C44" s="2" t="s">
        <v>27</v>
      </c>
      <c r="D44" s="2" t="s">
        <v>97</v>
      </c>
      <c r="E44" s="2" t="n">
        <v>2</v>
      </c>
      <c r="F44" s="2" t="n">
        <v>26</v>
      </c>
    </row>
    <row r="45" customFormat="false" ht="15" hidden="false" customHeight="false" outlineLevel="0" collapsed="false">
      <c r="A45" s="2" t="s">
        <v>98</v>
      </c>
      <c r="B45" s="2" t="s">
        <v>64</v>
      </c>
      <c r="C45" s="2" t="s">
        <v>11</v>
      </c>
      <c r="D45" s="2" t="s">
        <v>99</v>
      </c>
      <c r="E45" s="2" t="n">
        <v>0</v>
      </c>
      <c r="F45" s="2" t="n">
        <v>23</v>
      </c>
    </row>
    <row r="46" customFormat="false" ht="15" hidden="false" customHeight="false" outlineLevel="0" collapsed="false">
      <c r="A46" s="2" t="s">
        <v>100</v>
      </c>
      <c r="B46" s="2" t="s">
        <v>64</v>
      </c>
      <c r="C46" s="2" t="s">
        <v>11</v>
      </c>
      <c r="D46" s="2" t="s">
        <v>101</v>
      </c>
      <c r="E46" s="2" t="n">
        <v>1</v>
      </c>
      <c r="F46" s="2" t="n">
        <v>30</v>
      </c>
    </row>
    <row r="47" customFormat="false" ht="15" hidden="false" customHeight="false" outlineLevel="0" collapsed="false">
      <c r="A47" s="2" t="s">
        <v>102</v>
      </c>
      <c r="B47" s="2" t="s">
        <v>64</v>
      </c>
      <c r="C47" s="2" t="s">
        <v>11</v>
      </c>
      <c r="D47" s="2" t="s">
        <v>103</v>
      </c>
      <c r="E47" s="2" t="n">
        <v>4</v>
      </c>
      <c r="F47" s="2" t="n">
        <v>31</v>
      </c>
    </row>
    <row r="48" customFormat="false" ht="15" hidden="false" customHeight="false" outlineLevel="0" collapsed="false">
      <c r="A48" s="2" t="s">
        <v>104</v>
      </c>
      <c r="B48" s="2" t="s">
        <v>64</v>
      </c>
      <c r="C48" s="2" t="s">
        <v>11</v>
      </c>
      <c r="D48" s="2" t="s">
        <v>105</v>
      </c>
      <c r="E48" s="2" t="n">
        <v>4</v>
      </c>
      <c r="F48" s="2" t="n">
        <v>22</v>
      </c>
    </row>
    <row r="49" customFormat="false" ht="15" hidden="false" customHeight="false" outlineLevel="0" collapsed="false">
      <c r="A49" s="2" t="s">
        <v>106</v>
      </c>
      <c r="B49" s="2" t="s">
        <v>64</v>
      </c>
      <c r="C49" s="2" t="s">
        <v>8</v>
      </c>
      <c r="D49" s="2" t="s">
        <v>107</v>
      </c>
      <c r="E49" s="2" t="n">
        <v>0</v>
      </c>
      <c r="F49" s="2" t="n">
        <v>32</v>
      </c>
    </row>
    <row r="50" customFormat="false" ht="15" hidden="false" customHeight="false" outlineLevel="0" collapsed="false">
      <c r="A50" s="2" t="s">
        <v>108</v>
      </c>
      <c r="B50" s="2" t="s">
        <v>64</v>
      </c>
      <c r="C50" s="2" t="s">
        <v>20</v>
      </c>
      <c r="D50" s="2" t="s">
        <v>109</v>
      </c>
      <c r="E50" s="2" t="n">
        <v>2</v>
      </c>
      <c r="F50" s="2" t="n">
        <v>25</v>
      </c>
    </row>
    <row r="51" customFormat="false" ht="15" hidden="false" customHeight="false" outlineLevel="0" collapsed="false">
      <c r="A51" s="2" t="s">
        <v>110</v>
      </c>
      <c r="B51" s="2" t="s">
        <v>64</v>
      </c>
      <c r="C51" s="2" t="s">
        <v>11</v>
      </c>
      <c r="D51" s="2" t="s">
        <v>111</v>
      </c>
      <c r="E51" s="2" t="n">
        <v>0</v>
      </c>
      <c r="F51" s="2" t="n">
        <v>22</v>
      </c>
    </row>
    <row r="52" customFormat="false" ht="15" hidden="false" customHeight="false" outlineLevel="0" collapsed="false">
      <c r="A52" s="2" t="s">
        <v>112</v>
      </c>
      <c r="B52" s="2" t="s">
        <v>64</v>
      </c>
      <c r="C52" s="2" t="s">
        <v>27</v>
      </c>
      <c r="D52" s="2" t="s">
        <v>113</v>
      </c>
      <c r="E52" s="2" t="n">
        <v>0</v>
      </c>
      <c r="F52" s="2" t="n">
        <v>24</v>
      </c>
    </row>
    <row r="53" customFormat="false" ht="15" hidden="false" customHeight="false" outlineLevel="0" collapsed="false">
      <c r="A53" s="2" t="s">
        <v>114</v>
      </c>
      <c r="B53" s="2" t="s">
        <v>64</v>
      </c>
      <c r="C53" s="2" t="s">
        <v>11</v>
      </c>
      <c r="D53" s="2" t="s">
        <v>115</v>
      </c>
      <c r="E53" s="2" t="n">
        <v>0</v>
      </c>
      <c r="F53" s="2" t="n">
        <v>25</v>
      </c>
    </row>
    <row r="54" customFormat="false" ht="15" hidden="false" customHeight="false" outlineLevel="0" collapsed="false">
      <c r="A54" s="2" t="s">
        <v>116</v>
      </c>
      <c r="B54" s="2" t="s">
        <v>117</v>
      </c>
      <c r="C54" s="2" t="s">
        <v>8</v>
      </c>
      <c r="D54" s="2" t="s">
        <v>118</v>
      </c>
      <c r="E54" s="2" t="n">
        <v>3</v>
      </c>
      <c r="F54" s="2" t="n">
        <v>35</v>
      </c>
    </row>
    <row r="55" customFormat="false" ht="15" hidden="false" customHeight="false" outlineLevel="0" collapsed="false">
      <c r="A55" s="2" t="s">
        <v>119</v>
      </c>
      <c r="B55" s="2" t="s">
        <v>117</v>
      </c>
      <c r="C55" s="2" t="s">
        <v>11</v>
      </c>
      <c r="D55" s="2" t="s">
        <v>120</v>
      </c>
      <c r="E55" s="2" t="n">
        <v>3</v>
      </c>
      <c r="F55" s="2" t="n">
        <v>23</v>
      </c>
    </row>
    <row r="56" customFormat="false" ht="15" hidden="false" customHeight="false" outlineLevel="0" collapsed="false">
      <c r="A56" s="2" t="s">
        <v>121</v>
      </c>
      <c r="B56" s="2" t="s">
        <v>117</v>
      </c>
      <c r="C56" s="2" t="s">
        <v>20</v>
      </c>
      <c r="D56" s="2" t="s">
        <v>122</v>
      </c>
      <c r="E56" s="2" t="n">
        <v>3</v>
      </c>
      <c r="F56" s="2" t="n">
        <v>25</v>
      </c>
    </row>
    <row r="57" customFormat="false" ht="15" hidden="false" customHeight="false" outlineLevel="0" collapsed="false">
      <c r="A57" s="2" t="s">
        <v>123</v>
      </c>
      <c r="B57" s="2" t="s">
        <v>117</v>
      </c>
      <c r="C57" s="2" t="s">
        <v>11</v>
      </c>
      <c r="D57" s="2" t="s">
        <v>124</v>
      </c>
      <c r="E57" s="2" t="n">
        <v>3</v>
      </c>
      <c r="F57" s="2" t="n">
        <v>29</v>
      </c>
    </row>
    <row r="58" customFormat="false" ht="15" hidden="false" customHeight="false" outlineLevel="0" collapsed="false">
      <c r="A58" s="2" t="s">
        <v>125</v>
      </c>
      <c r="B58" s="2" t="s">
        <v>117</v>
      </c>
      <c r="C58" s="2" t="s">
        <v>11</v>
      </c>
      <c r="D58" s="2" t="s">
        <v>126</v>
      </c>
      <c r="E58" s="2" t="n">
        <v>0</v>
      </c>
      <c r="F58" s="2" t="n">
        <v>25</v>
      </c>
    </row>
    <row r="59" customFormat="false" ht="15" hidden="false" customHeight="false" outlineLevel="0" collapsed="false">
      <c r="A59" s="2" t="s">
        <v>127</v>
      </c>
      <c r="B59" s="2" t="s">
        <v>117</v>
      </c>
      <c r="C59" s="2" t="s">
        <v>20</v>
      </c>
      <c r="D59" s="2" t="s">
        <v>128</v>
      </c>
      <c r="E59" s="2" t="n">
        <v>3</v>
      </c>
      <c r="F59" s="2" t="n">
        <v>29</v>
      </c>
    </row>
    <row r="60" customFormat="false" ht="15" hidden="false" customHeight="false" outlineLevel="0" collapsed="false">
      <c r="A60" s="2" t="s">
        <v>129</v>
      </c>
      <c r="B60" s="2" t="s">
        <v>117</v>
      </c>
      <c r="C60" s="2" t="s">
        <v>27</v>
      </c>
      <c r="D60" s="2" t="s">
        <v>130</v>
      </c>
      <c r="E60" s="2" t="n">
        <v>2</v>
      </c>
      <c r="F60" s="2" t="n">
        <v>33</v>
      </c>
    </row>
    <row r="61" customFormat="false" ht="15" hidden="false" customHeight="false" outlineLevel="0" collapsed="false">
      <c r="A61" s="2" t="s">
        <v>131</v>
      </c>
      <c r="B61" s="2" t="s">
        <v>117</v>
      </c>
      <c r="C61" s="2" t="s">
        <v>20</v>
      </c>
      <c r="D61" s="2" t="s">
        <v>132</v>
      </c>
      <c r="E61" s="2" t="n">
        <v>3</v>
      </c>
      <c r="F61" s="2" t="n">
        <v>29</v>
      </c>
    </row>
    <row r="62" customFormat="false" ht="15" hidden="false" customHeight="false" outlineLevel="0" collapsed="false">
      <c r="A62" s="2" t="s">
        <v>133</v>
      </c>
      <c r="B62" s="2" t="s">
        <v>117</v>
      </c>
      <c r="C62" s="2" t="s">
        <v>27</v>
      </c>
      <c r="D62" s="2" t="s">
        <v>134</v>
      </c>
      <c r="E62" s="2" t="n">
        <v>0</v>
      </c>
      <c r="F62" s="2" t="n">
        <v>28</v>
      </c>
    </row>
    <row r="63" customFormat="false" ht="15" hidden="false" customHeight="false" outlineLevel="0" collapsed="false">
      <c r="A63" s="2" t="s">
        <v>135</v>
      </c>
      <c r="B63" s="2" t="s">
        <v>117</v>
      </c>
      <c r="C63" s="2" t="s">
        <v>20</v>
      </c>
      <c r="D63" s="2" t="s">
        <v>136</v>
      </c>
      <c r="E63" s="2" t="n">
        <v>2</v>
      </c>
      <c r="F63" s="2" t="n">
        <v>33</v>
      </c>
    </row>
    <row r="64" customFormat="false" ht="15" hidden="false" customHeight="false" outlineLevel="0" collapsed="false">
      <c r="A64" s="2" t="s">
        <v>137</v>
      </c>
      <c r="B64" s="2" t="s">
        <v>117</v>
      </c>
      <c r="C64" s="2" t="s">
        <v>20</v>
      </c>
      <c r="D64" s="2" t="s">
        <v>138</v>
      </c>
      <c r="E64" s="2" t="n">
        <v>1</v>
      </c>
      <c r="F64" s="2" t="n">
        <v>30</v>
      </c>
    </row>
    <row r="65" customFormat="false" ht="15" hidden="false" customHeight="false" outlineLevel="0" collapsed="false">
      <c r="A65" s="2" t="s">
        <v>139</v>
      </c>
      <c r="B65" s="2" t="s">
        <v>117</v>
      </c>
      <c r="C65" s="2" t="s">
        <v>8</v>
      </c>
      <c r="D65" s="2" t="s">
        <v>140</v>
      </c>
      <c r="E65" s="2" t="n">
        <v>0</v>
      </c>
      <c r="F65" s="2" t="n">
        <v>28</v>
      </c>
    </row>
    <row r="66" customFormat="false" ht="15" hidden="false" customHeight="false" outlineLevel="0" collapsed="false">
      <c r="A66" s="2" t="s">
        <v>141</v>
      </c>
      <c r="B66" s="2" t="s">
        <v>117</v>
      </c>
      <c r="C66" s="2" t="s">
        <v>11</v>
      </c>
      <c r="D66" s="2" t="s">
        <v>142</v>
      </c>
      <c r="E66" s="2" t="n">
        <v>2</v>
      </c>
      <c r="F66" s="2" t="n">
        <v>23</v>
      </c>
    </row>
    <row r="67" customFormat="false" ht="15" hidden="false" customHeight="false" outlineLevel="0" collapsed="false">
      <c r="A67" s="2" t="s">
        <v>143</v>
      </c>
      <c r="B67" s="2" t="s">
        <v>117</v>
      </c>
      <c r="C67" s="2" t="s">
        <v>11</v>
      </c>
      <c r="D67" s="2" t="s">
        <v>144</v>
      </c>
      <c r="E67" s="2" t="n">
        <v>0</v>
      </c>
      <c r="F67" s="2" t="n">
        <v>22</v>
      </c>
    </row>
    <row r="68" customFormat="false" ht="15" hidden="false" customHeight="false" outlineLevel="0" collapsed="false">
      <c r="A68" s="2" t="s">
        <v>145</v>
      </c>
      <c r="B68" s="2" t="s">
        <v>117</v>
      </c>
      <c r="C68" s="2" t="s">
        <v>11</v>
      </c>
      <c r="D68" s="2" t="s">
        <v>146</v>
      </c>
      <c r="E68" s="2" t="n">
        <v>1</v>
      </c>
      <c r="F68" s="2" t="n">
        <v>30</v>
      </c>
    </row>
    <row r="69" customFormat="false" ht="15" hidden="false" customHeight="false" outlineLevel="0" collapsed="false">
      <c r="A69" s="2" t="s">
        <v>147</v>
      </c>
      <c r="B69" s="2" t="s">
        <v>117</v>
      </c>
      <c r="C69" s="2" t="s">
        <v>11</v>
      </c>
      <c r="D69" s="2" t="s">
        <v>148</v>
      </c>
      <c r="E69" s="2" t="n">
        <v>0</v>
      </c>
      <c r="F69" s="2" t="n">
        <v>27</v>
      </c>
    </row>
    <row r="70" customFormat="false" ht="15" hidden="false" customHeight="false" outlineLevel="0" collapsed="false">
      <c r="A70" s="2" t="s">
        <v>149</v>
      </c>
      <c r="B70" s="2" t="s">
        <v>117</v>
      </c>
      <c r="C70" s="2" t="s">
        <v>20</v>
      </c>
      <c r="D70" s="2" t="s">
        <v>150</v>
      </c>
      <c r="E70" s="2" t="n">
        <v>0</v>
      </c>
      <c r="F70" s="2" t="n">
        <v>22</v>
      </c>
    </row>
    <row r="71" customFormat="false" ht="15" hidden="false" customHeight="false" outlineLevel="0" collapsed="false">
      <c r="A71" s="2" t="s">
        <v>151</v>
      </c>
      <c r="B71" s="2" t="s">
        <v>117</v>
      </c>
      <c r="C71" s="2" t="s">
        <v>27</v>
      </c>
      <c r="D71" s="2" t="s">
        <v>152</v>
      </c>
      <c r="E71" s="2" t="n">
        <v>1</v>
      </c>
      <c r="F71" s="2" t="n">
        <v>25</v>
      </c>
    </row>
    <row r="72" customFormat="false" ht="15" hidden="false" customHeight="false" outlineLevel="0" collapsed="false">
      <c r="A72" s="2" t="s">
        <v>153</v>
      </c>
      <c r="B72" s="2" t="s">
        <v>117</v>
      </c>
      <c r="C72" s="2" t="s">
        <v>20</v>
      </c>
      <c r="D72" s="2" t="s">
        <v>154</v>
      </c>
      <c r="E72" s="2" t="n">
        <v>3</v>
      </c>
      <c r="F72" s="2" t="n">
        <v>25</v>
      </c>
    </row>
    <row r="73" customFormat="false" ht="15" hidden="false" customHeight="false" outlineLevel="0" collapsed="false">
      <c r="A73" s="2" t="s">
        <v>155</v>
      </c>
      <c r="B73" s="2" t="s">
        <v>117</v>
      </c>
      <c r="C73" s="2" t="s">
        <v>20</v>
      </c>
      <c r="D73" s="2" t="s">
        <v>156</v>
      </c>
      <c r="E73" s="2" t="n">
        <v>0</v>
      </c>
      <c r="F73" s="2" t="n">
        <v>24</v>
      </c>
    </row>
    <row r="74" customFormat="false" ht="15" hidden="false" customHeight="false" outlineLevel="0" collapsed="false">
      <c r="A74" s="2" t="s">
        <v>157</v>
      </c>
      <c r="B74" s="2" t="s">
        <v>117</v>
      </c>
      <c r="C74" s="2" t="s">
        <v>8</v>
      </c>
      <c r="D74" s="2" t="s">
        <v>158</v>
      </c>
      <c r="E74" s="2" t="n">
        <v>0</v>
      </c>
      <c r="F74" s="2" t="n">
        <v>34</v>
      </c>
    </row>
    <row r="75" customFormat="false" ht="15" hidden="false" customHeight="false" outlineLevel="0" collapsed="false">
      <c r="A75" s="2" t="s">
        <v>159</v>
      </c>
      <c r="B75" s="2" t="s">
        <v>117</v>
      </c>
      <c r="C75" s="2" t="s">
        <v>11</v>
      </c>
      <c r="D75" s="2" t="s">
        <v>160</v>
      </c>
      <c r="E75" s="2" t="n">
        <v>3</v>
      </c>
      <c r="F75" s="2" t="n">
        <v>27</v>
      </c>
    </row>
    <row r="76" customFormat="false" ht="15" hidden="false" customHeight="false" outlineLevel="0" collapsed="false">
      <c r="A76" s="2" t="s">
        <v>161</v>
      </c>
      <c r="B76" s="2" t="s">
        <v>117</v>
      </c>
      <c r="C76" s="2" t="s">
        <v>11</v>
      </c>
      <c r="D76" s="2" t="s">
        <v>162</v>
      </c>
      <c r="E76" s="2" t="n">
        <v>0</v>
      </c>
      <c r="F76" s="2" t="n">
        <v>22</v>
      </c>
    </row>
    <row r="77" customFormat="false" ht="15" hidden="false" customHeight="false" outlineLevel="0" collapsed="false">
      <c r="A77" s="2" t="s">
        <v>163</v>
      </c>
      <c r="B77" s="2" t="s">
        <v>117</v>
      </c>
      <c r="C77" s="2" t="s">
        <v>20</v>
      </c>
      <c r="D77" s="2" t="s">
        <v>164</v>
      </c>
      <c r="E77" s="2" t="n">
        <v>0</v>
      </c>
      <c r="F77" s="2" t="n">
        <v>26</v>
      </c>
    </row>
    <row r="78" customFormat="false" ht="15" hidden="false" customHeight="false" outlineLevel="0" collapsed="false">
      <c r="A78" s="2" t="s">
        <v>165</v>
      </c>
      <c r="B78" s="2" t="s">
        <v>117</v>
      </c>
      <c r="C78" s="2" t="s">
        <v>20</v>
      </c>
      <c r="D78" s="2" t="s">
        <v>166</v>
      </c>
      <c r="E78" s="2" t="n">
        <v>0</v>
      </c>
      <c r="F78" s="2" t="n">
        <v>24</v>
      </c>
    </row>
    <row r="79" customFormat="false" ht="15" hidden="false" customHeight="false" outlineLevel="0" collapsed="false">
      <c r="A79" s="2" t="s">
        <v>167</v>
      </c>
      <c r="B79" s="2" t="s">
        <v>117</v>
      </c>
      <c r="C79" s="2" t="s">
        <v>20</v>
      </c>
      <c r="D79" s="2" t="s">
        <v>168</v>
      </c>
      <c r="E79" s="2" t="n">
        <v>0</v>
      </c>
      <c r="F79" s="2" t="n">
        <v>28</v>
      </c>
    </row>
    <row r="80" customFormat="false" ht="15" hidden="false" customHeight="false" outlineLevel="0" collapsed="false">
      <c r="A80" s="2" t="s">
        <v>169</v>
      </c>
      <c r="B80" s="2" t="s">
        <v>170</v>
      </c>
      <c r="C80" s="2" t="s">
        <v>8</v>
      </c>
      <c r="D80" s="2" t="s">
        <v>40</v>
      </c>
      <c r="E80" s="2" t="n">
        <v>3</v>
      </c>
      <c r="F80" s="2" t="n">
        <v>26</v>
      </c>
    </row>
    <row r="81" customFormat="false" ht="15" hidden="false" customHeight="false" outlineLevel="0" collapsed="false">
      <c r="A81" s="2" t="s">
        <v>171</v>
      </c>
      <c r="B81" s="2" t="s">
        <v>170</v>
      </c>
      <c r="C81" s="2" t="s">
        <v>11</v>
      </c>
      <c r="D81" s="2" t="s">
        <v>172</v>
      </c>
      <c r="E81" s="2" t="n">
        <v>0</v>
      </c>
      <c r="F81" s="2" t="n">
        <v>25</v>
      </c>
    </row>
    <row r="82" customFormat="false" ht="15" hidden="false" customHeight="false" outlineLevel="0" collapsed="false">
      <c r="A82" s="2" t="s">
        <v>173</v>
      </c>
      <c r="B82" s="2" t="s">
        <v>170</v>
      </c>
      <c r="C82" s="2" t="s">
        <v>11</v>
      </c>
      <c r="D82" s="2" t="s">
        <v>174</v>
      </c>
      <c r="E82" s="2" t="n">
        <v>2</v>
      </c>
      <c r="F82" s="2" t="n">
        <v>33</v>
      </c>
    </row>
    <row r="83" customFormat="false" ht="15" hidden="false" customHeight="false" outlineLevel="0" collapsed="false">
      <c r="A83" s="2" t="s">
        <v>175</v>
      </c>
      <c r="B83" s="2" t="s">
        <v>170</v>
      </c>
      <c r="C83" s="2" t="s">
        <v>11</v>
      </c>
      <c r="D83" s="2" t="s">
        <v>176</v>
      </c>
      <c r="E83" s="2" t="n">
        <v>3</v>
      </c>
      <c r="F83" s="2" t="n">
        <v>26</v>
      </c>
    </row>
    <row r="84" customFormat="false" ht="15" hidden="false" customHeight="false" outlineLevel="0" collapsed="false">
      <c r="A84" s="2" t="s">
        <v>177</v>
      </c>
      <c r="B84" s="2" t="s">
        <v>170</v>
      </c>
      <c r="C84" s="2" t="s">
        <v>11</v>
      </c>
      <c r="D84" s="2" t="s">
        <v>178</v>
      </c>
      <c r="E84" s="2" t="n">
        <v>3</v>
      </c>
      <c r="F84" s="2" t="n">
        <v>33</v>
      </c>
    </row>
    <row r="85" customFormat="false" ht="15" hidden="false" customHeight="false" outlineLevel="0" collapsed="false">
      <c r="A85" s="2" t="s">
        <v>179</v>
      </c>
      <c r="B85" s="2" t="s">
        <v>170</v>
      </c>
      <c r="C85" s="2" t="s">
        <v>11</v>
      </c>
      <c r="D85" s="2" t="s">
        <v>180</v>
      </c>
      <c r="E85" s="2" t="n">
        <v>1</v>
      </c>
      <c r="F85" s="2" t="n">
        <v>23</v>
      </c>
    </row>
    <row r="86" customFormat="false" ht="15" hidden="false" customHeight="false" outlineLevel="0" collapsed="false">
      <c r="A86" s="2" t="s">
        <v>181</v>
      </c>
      <c r="B86" s="2" t="s">
        <v>170</v>
      </c>
      <c r="C86" s="2" t="s">
        <v>11</v>
      </c>
      <c r="D86" s="2" t="s">
        <v>182</v>
      </c>
      <c r="E86" s="2" t="n">
        <v>3</v>
      </c>
      <c r="F86" s="2" t="n">
        <v>27</v>
      </c>
    </row>
    <row r="87" customFormat="false" ht="15" hidden="false" customHeight="false" outlineLevel="0" collapsed="false">
      <c r="A87" s="2" t="s">
        <v>183</v>
      </c>
      <c r="B87" s="2" t="s">
        <v>170</v>
      </c>
      <c r="C87" s="2" t="s">
        <v>20</v>
      </c>
      <c r="D87" s="2" t="s">
        <v>184</v>
      </c>
      <c r="E87" s="2" t="n">
        <v>1</v>
      </c>
      <c r="F87" s="2" t="n">
        <v>35</v>
      </c>
    </row>
    <row r="88" customFormat="false" ht="15" hidden="false" customHeight="false" outlineLevel="0" collapsed="false">
      <c r="A88" s="2" t="s">
        <v>185</v>
      </c>
      <c r="B88" s="2" t="s">
        <v>170</v>
      </c>
      <c r="C88" s="2" t="s">
        <v>27</v>
      </c>
      <c r="D88" s="2" t="s">
        <v>186</v>
      </c>
      <c r="E88" s="2" t="n">
        <v>2</v>
      </c>
      <c r="F88" s="2" t="n">
        <v>23</v>
      </c>
    </row>
    <row r="89" customFormat="false" ht="15" hidden="false" customHeight="false" outlineLevel="0" collapsed="false">
      <c r="A89" s="2" t="s">
        <v>187</v>
      </c>
      <c r="B89" s="2" t="s">
        <v>170</v>
      </c>
      <c r="C89" s="2" t="s">
        <v>27</v>
      </c>
      <c r="D89" s="2" t="s">
        <v>188</v>
      </c>
      <c r="E89" s="2" t="n">
        <v>2</v>
      </c>
      <c r="F89" s="2" t="n">
        <v>30</v>
      </c>
    </row>
    <row r="90" customFormat="false" ht="15" hidden="false" customHeight="false" outlineLevel="0" collapsed="false">
      <c r="A90" s="2" t="s">
        <v>189</v>
      </c>
      <c r="B90" s="2" t="s">
        <v>170</v>
      </c>
      <c r="C90" s="2" t="s">
        <v>27</v>
      </c>
      <c r="D90" s="2" t="s">
        <v>190</v>
      </c>
      <c r="E90" s="2" t="n">
        <v>0</v>
      </c>
      <c r="F90" s="2" t="n">
        <v>29</v>
      </c>
    </row>
    <row r="91" customFormat="false" ht="15" hidden="false" customHeight="false" outlineLevel="0" collapsed="false">
      <c r="A91" s="2" t="s">
        <v>191</v>
      </c>
      <c r="B91" s="2" t="s">
        <v>170</v>
      </c>
      <c r="C91" s="2" t="s">
        <v>20</v>
      </c>
      <c r="D91" s="2" t="s">
        <v>192</v>
      </c>
      <c r="E91" s="2" t="n">
        <v>2</v>
      </c>
      <c r="F91" s="2" t="n">
        <v>25</v>
      </c>
    </row>
    <row r="92" customFormat="false" ht="15" hidden="false" customHeight="false" outlineLevel="0" collapsed="false">
      <c r="A92" s="2" t="s">
        <v>193</v>
      </c>
      <c r="B92" s="2" t="s">
        <v>170</v>
      </c>
      <c r="C92" s="2" t="s">
        <v>27</v>
      </c>
      <c r="D92" s="2" t="s">
        <v>194</v>
      </c>
      <c r="E92" s="2" t="n">
        <v>0</v>
      </c>
      <c r="F92" s="2" t="n">
        <v>27</v>
      </c>
    </row>
    <row r="93" customFormat="false" ht="15" hidden="false" customHeight="false" outlineLevel="0" collapsed="false">
      <c r="A93" s="2" t="s">
        <v>195</v>
      </c>
      <c r="B93" s="2" t="s">
        <v>170</v>
      </c>
      <c r="C93" s="2" t="s">
        <v>11</v>
      </c>
      <c r="D93" s="2" t="s">
        <v>196</v>
      </c>
      <c r="E93" s="2" t="n">
        <v>0</v>
      </c>
      <c r="F93" s="2" t="n">
        <v>23</v>
      </c>
    </row>
    <row r="94" customFormat="false" ht="15" hidden="false" customHeight="false" outlineLevel="0" collapsed="false">
      <c r="A94" s="2" t="s">
        <v>197</v>
      </c>
      <c r="B94" s="2" t="s">
        <v>170</v>
      </c>
      <c r="C94" s="2" t="s">
        <v>27</v>
      </c>
      <c r="D94" s="2" t="s">
        <v>198</v>
      </c>
      <c r="E94" s="2" t="n">
        <v>2</v>
      </c>
      <c r="F94" s="2" t="n">
        <v>25</v>
      </c>
    </row>
    <row r="95" customFormat="false" ht="15" hidden="false" customHeight="false" outlineLevel="0" collapsed="false">
      <c r="A95" s="2" t="s">
        <v>199</v>
      </c>
      <c r="B95" s="2" t="s">
        <v>170</v>
      </c>
      <c r="C95" s="2" t="s">
        <v>8</v>
      </c>
      <c r="D95" s="2" t="s">
        <v>200</v>
      </c>
      <c r="E95" s="2" t="n">
        <v>0</v>
      </c>
      <c r="F95" s="2" t="n">
        <v>30</v>
      </c>
    </row>
    <row r="96" customFormat="false" ht="15" hidden="false" customHeight="false" outlineLevel="0" collapsed="false">
      <c r="A96" s="2" t="s">
        <v>201</v>
      </c>
      <c r="B96" s="2" t="s">
        <v>170</v>
      </c>
      <c r="C96" s="2" t="s">
        <v>20</v>
      </c>
      <c r="D96" s="2" t="s">
        <v>202</v>
      </c>
      <c r="E96" s="2" t="n">
        <v>1</v>
      </c>
      <c r="F96" s="2" t="n">
        <v>29</v>
      </c>
    </row>
    <row r="97" customFormat="false" ht="15" hidden="false" customHeight="false" outlineLevel="0" collapsed="false">
      <c r="A97" s="2" t="s">
        <v>203</v>
      </c>
      <c r="B97" s="2" t="s">
        <v>170</v>
      </c>
      <c r="C97" s="2" t="s">
        <v>20</v>
      </c>
      <c r="D97" s="2" t="s">
        <v>204</v>
      </c>
      <c r="E97" s="2" t="n">
        <v>2</v>
      </c>
      <c r="F97" s="2" t="n">
        <v>27</v>
      </c>
    </row>
    <row r="98" customFormat="false" ht="15" hidden="false" customHeight="false" outlineLevel="0" collapsed="false">
      <c r="A98" s="2" t="s">
        <v>205</v>
      </c>
      <c r="B98" s="2" t="s">
        <v>170</v>
      </c>
      <c r="C98" s="2" t="s">
        <v>27</v>
      </c>
      <c r="D98" s="2" t="s">
        <v>206</v>
      </c>
      <c r="E98" s="2" t="n">
        <v>0</v>
      </c>
      <c r="F98" s="2" t="n">
        <v>31</v>
      </c>
    </row>
    <row r="99" customFormat="false" ht="15" hidden="false" customHeight="false" outlineLevel="0" collapsed="false">
      <c r="A99" s="2" t="s">
        <v>207</v>
      </c>
      <c r="B99" s="2" t="s">
        <v>170</v>
      </c>
      <c r="C99" s="2" t="s">
        <v>11</v>
      </c>
      <c r="D99" s="2" t="s">
        <v>208</v>
      </c>
      <c r="E99" s="2" t="n">
        <v>1</v>
      </c>
      <c r="F99" s="2" t="n">
        <v>33</v>
      </c>
    </row>
    <row r="100" customFormat="false" ht="15" hidden="false" customHeight="false" outlineLevel="0" collapsed="false">
      <c r="A100" s="2" t="s">
        <v>209</v>
      </c>
      <c r="B100" s="2" t="s">
        <v>170</v>
      </c>
      <c r="C100" s="2" t="s">
        <v>11</v>
      </c>
      <c r="D100" s="2" t="s">
        <v>210</v>
      </c>
      <c r="E100" s="2" t="n">
        <v>1</v>
      </c>
      <c r="F100" s="2" t="n">
        <v>28</v>
      </c>
    </row>
    <row r="101" customFormat="false" ht="15" hidden="false" customHeight="false" outlineLevel="0" collapsed="false">
      <c r="A101" s="2" t="s">
        <v>211</v>
      </c>
      <c r="B101" s="2" t="s">
        <v>170</v>
      </c>
      <c r="C101" s="2" t="s">
        <v>20</v>
      </c>
      <c r="D101" s="2" t="s">
        <v>212</v>
      </c>
      <c r="E101" s="2" t="n">
        <v>1</v>
      </c>
      <c r="F101" s="2" t="n">
        <v>31</v>
      </c>
    </row>
    <row r="102" customFormat="false" ht="15" hidden="false" customHeight="false" outlineLevel="0" collapsed="false">
      <c r="A102" s="2" t="s">
        <v>213</v>
      </c>
      <c r="B102" s="2" t="s">
        <v>170</v>
      </c>
      <c r="C102" s="2" t="s">
        <v>8</v>
      </c>
      <c r="D102" s="2" t="s">
        <v>214</v>
      </c>
      <c r="E102" s="2" t="n">
        <v>0</v>
      </c>
      <c r="F102" s="2" t="n">
        <v>23</v>
      </c>
    </row>
    <row r="103" customFormat="false" ht="15" hidden="false" customHeight="false" outlineLevel="0" collapsed="false">
      <c r="A103" s="2" t="s">
        <v>215</v>
      </c>
      <c r="B103" s="2" t="s">
        <v>170</v>
      </c>
      <c r="C103" s="2" t="s">
        <v>20</v>
      </c>
      <c r="D103" s="2" t="s">
        <v>216</v>
      </c>
      <c r="E103" s="2" t="n">
        <v>2</v>
      </c>
      <c r="F103" s="2" t="n">
        <v>24</v>
      </c>
    </row>
    <row r="104" customFormat="false" ht="15" hidden="false" customHeight="false" outlineLevel="0" collapsed="false">
      <c r="A104" s="2" t="s">
        <v>217</v>
      </c>
      <c r="B104" s="2" t="s">
        <v>170</v>
      </c>
      <c r="C104" s="2" t="s">
        <v>20</v>
      </c>
      <c r="D104" s="2" t="s">
        <v>218</v>
      </c>
      <c r="E104" s="2" t="n">
        <v>0</v>
      </c>
      <c r="F104" s="2" t="n">
        <v>18</v>
      </c>
    </row>
    <row r="105" customFormat="false" ht="15" hidden="false" customHeight="false" outlineLevel="0" collapsed="false">
      <c r="A105" s="2" t="s">
        <v>219</v>
      </c>
      <c r="B105" s="2" t="s">
        <v>170</v>
      </c>
      <c r="C105" s="2" t="s">
        <v>27</v>
      </c>
      <c r="D105" s="2" t="s">
        <v>220</v>
      </c>
      <c r="E105" s="2" t="n">
        <v>1</v>
      </c>
      <c r="F105" s="2" t="n">
        <v>23</v>
      </c>
    </row>
    <row r="106" customFormat="false" ht="15" hidden="false" customHeight="false" outlineLevel="0" collapsed="false">
      <c r="A106" s="2" t="s">
        <v>221</v>
      </c>
      <c r="B106" s="2" t="s">
        <v>222</v>
      </c>
      <c r="C106" s="2" t="s">
        <v>8</v>
      </c>
      <c r="D106" s="2" t="s">
        <v>223</v>
      </c>
      <c r="E106" s="2" t="n">
        <v>0</v>
      </c>
      <c r="F106" s="2" t="n">
        <v>29</v>
      </c>
    </row>
    <row r="107" customFormat="false" ht="15" hidden="false" customHeight="false" outlineLevel="0" collapsed="false">
      <c r="A107" s="2" t="s">
        <v>224</v>
      </c>
      <c r="B107" s="2" t="s">
        <v>222</v>
      </c>
      <c r="C107" s="2" t="s">
        <v>11</v>
      </c>
      <c r="D107" s="2" t="s">
        <v>225</v>
      </c>
      <c r="E107" s="2" t="n">
        <v>5</v>
      </c>
      <c r="F107" s="2" t="n">
        <v>27</v>
      </c>
    </row>
    <row r="108" customFormat="false" ht="15" hidden="false" customHeight="false" outlineLevel="0" collapsed="false">
      <c r="A108" s="2" t="s">
        <v>226</v>
      </c>
      <c r="B108" s="2" t="s">
        <v>222</v>
      </c>
      <c r="C108" s="2" t="s">
        <v>11</v>
      </c>
      <c r="D108" s="2" t="s">
        <v>227</v>
      </c>
      <c r="E108" s="2" t="n">
        <v>1</v>
      </c>
      <c r="F108" s="2" t="n">
        <v>28</v>
      </c>
    </row>
    <row r="109" customFormat="false" ht="15" hidden="false" customHeight="false" outlineLevel="0" collapsed="false">
      <c r="A109" s="2" t="s">
        <v>228</v>
      </c>
      <c r="B109" s="2" t="s">
        <v>222</v>
      </c>
      <c r="C109" s="2" t="s">
        <v>11</v>
      </c>
      <c r="D109" s="2" t="s">
        <v>229</v>
      </c>
      <c r="E109" s="2" t="n">
        <v>3</v>
      </c>
      <c r="F109" s="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G1" s="3" t="s">
        <v>230</v>
      </c>
      <c r="H1" s="4" t="n">
        <v>40</v>
      </c>
    </row>
    <row r="2" customFormat="false" ht="15" hidden="false" customHeight="false" outlineLevel="0" collapsed="false">
      <c r="A2" s="2" t="s">
        <v>167</v>
      </c>
      <c r="B2" s="2" t="s">
        <v>117</v>
      </c>
      <c r="C2" s="2" t="s">
        <v>20</v>
      </c>
      <c r="D2" s="2" t="s">
        <v>168</v>
      </c>
      <c r="E2" s="2" t="n">
        <v>28</v>
      </c>
    </row>
    <row r="3" customFormat="false" ht="15" hidden="false" customHeight="false" outlineLevel="0" collapsed="false">
      <c r="A3" s="2" t="s">
        <v>31</v>
      </c>
      <c r="B3" s="2" t="s">
        <v>7</v>
      </c>
      <c r="C3" s="2" t="s">
        <v>27</v>
      </c>
      <c r="D3" s="2" t="s">
        <v>32</v>
      </c>
      <c r="E3" s="2" t="n">
        <v>25</v>
      </c>
    </row>
    <row r="4" customFormat="false" ht="15" hidden="false" customHeight="false" outlineLevel="0" collapsed="false">
      <c r="A4" s="2" t="s">
        <v>17</v>
      </c>
      <c r="B4" s="2" t="s">
        <v>7</v>
      </c>
      <c r="C4" s="2" t="s">
        <v>11</v>
      </c>
      <c r="D4" s="2" t="s">
        <v>18</v>
      </c>
      <c r="E4" s="2" t="n">
        <v>27</v>
      </c>
    </row>
    <row r="5" customFormat="false" ht="15" hidden="false" customHeight="false" outlineLevel="0" collapsed="false">
      <c r="A5" s="2" t="s">
        <v>179</v>
      </c>
      <c r="B5" s="2" t="s">
        <v>170</v>
      </c>
      <c r="C5" s="2" t="s">
        <v>11</v>
      </c>
      <c r="D5" s="2" t="s">
        <v>180</v>
      </c>
      <c r="E5" s="2" t="n">
        <v>23</v>
      </c>
    </row>
    <row r="6" customFormat="false" ht="15" hidden="false" customHeight="false" outlineLevel="0" collapsed="false">
      <c r="A6" s="2" t="s">
        <v>137</v>
      </c>
      <c r="B6" s="2" t="s">
        <v>117</v>
      </c>
      <c r="C6" s="2" t="s">
        <v>20</v>
      </c>
      <c r="D6" s="2" t="s">
        <v>138</v>
      </c>
      <c r="E6" s="2" t="n">
        <v>30</v>
      </c>
    </row>
    <row r="7" customFormat="false" ht="15" hidden="false" customHeight="false" outlineLevel="0" collapsed="false">
      <c r="A7" s="2" t="s">
        <v>147</v>
      </c>
      <c r="B7" s="2" t="s">
        <v>117</v>
      </c>
      <c r="C7" s="2" t="s">
        <v>11</v>
      </c>
      <c r="D7" s="2" t="s">
        <v>148</v>
      </c>
      <c r="E7" s="2" t="n">
        <v>27</v>
      </c>
    </row>
    <row r="8" customFormat="false" ht="15" hidden="false" customHeight="false" outlineLevel="0" collapsed="false">
      <c r="A8" s="2" t="s">
        <v>72</v>
      </c>
      <c r="B8" s="2" t="s">
        <v>64</v>
      </c>
      <c r="C8" s="2" t="s">
        <v>20</v>
      </c>
      <c r="D8" s="2" t="s">
        <v>73</v>
      </c>
      <c r="E8" s="2" t="n">
        <v>25</v>
      </c>
    </row>
    <row r="9" customFormat="false" ht="15" hidden="false" customHeight="false" outlineLevel="0" collapsed="false">
      <c r="A9" s="2" t="s">
        <v>102</v>
      </c>
      <c r="B9" s="2" t="s">
        <v>64</v>
      </c>
      <c r="C9" s="2" t="s">
        <v>11</v>
      </c>
      <c r="D9" s="2" t="s">
        <v>103</v>
      </c>
      <c r="E9" s="2" t="n">
        <v>31</v>
      </c>
    </row>
    <row r="10" customFormat="false" ht="15" hidden="false" customHeight="false" outlineLevel="0" collapsed="false">
      <c r="A10" s="2" t="s">
        <v>203</v>
      </c>
      <c r="B10" s="2" t="s">
        <v>170</v>
      </c>
      <c r="C10" s="2" t="s">
        <v>20</v>
      </c>
      <c r="D10" s="2" t="s">
        <v>204</v>
      </c>
      <c r="E10" s="2" t="n">
        <v>27</v>
      </c>
    </row>
    <row r="11" customFormat="false" ht="15" hidden="false" customHeight="false" outlineLevel="0" collapsed="false">
      <c r="A11" s="2" t="s">
        <v>33</v>
      </c>
      <c r="B11" s="2" t="s">
        <v>7</v>
      </c>
      <c r="C11" s="2" t="s">
        <v>8</v>
      </c>
      <c r="D11" s="2" t="s">
        <v>34</v>
      </c>
      <c r="E11" s="2" t="n">
        <v>30</v>
      </c>
    </row>
    <row r="12" customFormat="false" ht="15" hidden="false" customHeight="false" outlineLevel="0" collapsed="false">
      <c r="A12" s="2" t="s">
        <v>175</v>
      </c>
      <c r="B12" s="2" t="s">
        <v>170</v>
      </c>
      <c r="C12" s="2" t="s">
        <v>11</v>
      </c>
      <c r="D12" s="2" t="s">
        <v>176</v>
      </c>
      <c r="E12" s="2" t="n">
        <v>26</v>
      </c>
    </row>
    <row r="13" customFormat="false" ht="15" hidden="false" customHeight="false" outlineLevel="0" collapsed="false">
      <c r="A13" s="2" t="s">
        <v>171</v>
      </c>
      <c r="B13" s="2" t="s">
        <v>170</v>
      </c>
      <c r="C13" s="2" t="s">
        <v>11</v>
      </c>
      <c r="D13" s="2" t="s">
        <v>172</v>
      </c>
      <c r="E13" s="2" t="n">
        <v>25</v>
      </c>
    </row>
    <row r="14" customFormat="false" ht="15" hidden="false" customHeight="false" outlineLevel="0" collapsed="false">
      <c r="A14" s="2" t="s">
        <v>6</v>
      </c>
      <c r="B14" s="2" t="s">
        <v>7</v>
      </c>
      <c r="C14" s="2" t="s">
        <v>8</v>
      </c>
      <c r="D14" s="2" t="s">
        <v>9</v>
      </c>
      <c r="E14" s="2" t="n">
        <v>26</v>
      </c>
    </row>
    <row r="15" customFormat="false" ht="15" hidden="false" customHeight="false" outlineLevel="0" collapsed="false">
      <c r="A15" s="2" t="s">
        <v>173</v>
      </c>
      <c r="B15" s="2" t="s">
        <v>170</v>
      </c>
      <c r="C15" s="2" t="s">
        <v>11</v>
      </c>
      <c r="D15" s="2" t="s">
        <v>174</v>
      </c>
      <c r="E15" s="2" t="n">
        <v>33</v>
      </c>
    </row>
    <row r="16" customFormat="false" ht="15" hidden="false" customHeight="false" outlineLevel="0" collapsed="false">
      <c r="A16" s="2" t="s">
        <v>47</v>
      </c>
      <c r="B16" s="2" t="s">
        <v>7</v>
      </c>
      <c r="C16" s="2" t="s">
        <v>20</v>
      </c>
      <c r="D16" s="2" t="s">
        <v>48</v>
      </c>
      <c r="E16" s="2" t="n">
        <v>17</v>
      </c>
    </row>
    <row r="17" customFormat="false" ht="15" hidden="false" customHeight="false" outlineLevel="0" collapsed="false">
      <c r="A17" s="2" t="s">
        <v>151</v>
      </c>
      <c r="B17" s="2" t="s">
        <v>117</v>
      </c>
      <c r="C17" s="2" t="s">
        <v>27</v>
      </c>
      <c r="D17" s="2" t="s">
        <v>152</v>
      </c>
      <c r="E17" s="2" t="n">
        <v>25</v>
      </c>
    </row>
    <row r="18" customFormat="false" ht="15" hidden="false" customHeight="false" outlineLevel="0" collapsed="false">
      <c r="A18" s="2" t="s">
        <v>125</v>
      </c>
      <c r="B18" s="2" t="s">
        <v>117</v>
      </c>
      <c r="C18" s="2" t="s">
        <v>11</v>
      </c>
      <c r="D18" s="2" t="s">
        <v>126</v>
      </c>
      <c r="E18" s="2" t="n">
        <v>25</v>
      </c>
    </row>
    <row r="19" customFormat="false" ht="15" hidden="false" customHeight="false" outlineLevel="0" collapsed="false">
      <c r="A19" s="2" t="s">
        <v>165</v>
      </c>
      <c r="B19" s="2" t="s">
        <v>117</v>
      </c>
      <c r="C19" s="2" t="s">
        <v>20</v>
      </c>
      <c r="D19" s="2" t="s">
        <v>166</v>
      </c>
      <c r="E19" s="2" t="n">
        <v>24</v>
      </c>
    </row>
    <row r="20" customFormat="false" ht="15" hidden="false" customHeight="false" outlineLevel="0" collapsed="false">
      <c r="A20" s="2" t="s">
        <v>226</v>
      </c>
      <c r="B20" s="2" t="s">
        <v>222</v>
      </c>
      <c r="C20" s="2" t="s">
        <v>11</v>
      </c>
      <c r="D20" s="2" t="s">
        <v>227</v>
      </c>
      <c r="E20" s="2" t="n">
        <v>28</v>
      </c>
    </row>
    <row r="21" customFormat="false" ht="15" hidden="false" customHeight="false" outlineLevel="0" collapsed="false">
      <c r="A21" s="2" t="s">
        <v>96</v>
      </c>
      <c r="B21" s="2" t="s">
        <v>64</v>
      </c>
      <c r="C21" s="2" t="s">
        <v>27</v>
      </c>
      <c r="D21" s="2" t="s">
        <v>97</v>
      </c>
      <c r="E21" s="2" t="n">
        <v>26</v>
      </c>
    </row>
    <row r="22" customFormat="false" ht="15" hidden="false" customHeight="false" outlineLevel="0" collapsed="false">
      <c r="A22" s="2" t="s">
        <v>35</v>
      </c>
      <c r="B22" s="2" t="s">
        <v>7</v>
      </c>
      <c r="C22" s="2" t="s">
        <v>8</v>
      </c>
      <c r="D22" s="2" t="s">
        <v>36</v>
      </c>
      <c r="E22" s="2" t="n">
        <v>40</v>
      </c>
    </row>
    <row r="23" customFormat="false" ht="15" hidden="false" customHeight="false" outlineLevel="0" collapsed="false">
      <c r="A23" s="2" t="s">
        <v>84</v>
      </c>
      <c r="B23" s="2" t="s">
        <v>64</v>
      </c>
      <c r="C23" s="2" t="s">
        <v>20</v>
      </c>
      <c r="D23" s="2" t="s">
        <v>85</v>
      </c>
      <c r="E23" s="2" t="n">
        <v>36</v>
      </c>
    </row>
    <row r="24" customFormat="false" ht="15" hidden="false" customHeight="false" outlineLevel="0" collapsed="false">
      <c r="A24" s="2" t="s">
        <v>141</v>
      </c>
      <c r="B24" s="2" t="s">
        <v>117</v>
      </c>
      <c r="C24" s="2" t="s">
        <v>11</v>
      </c>
      <c r="D24" s="2" t="s">
        <v>142</v>
      </c>
      <c r="E24" s="2" t="n">
        <v>23</v>
      </c>
    </row>
    <row r="25" customFormat="false" ht="15" hidden="false" customHeight="false" outlineLevel="0" collapsed="false">
      <c r="A25" s="2" t="s">
        <v>63</v>
      </c>
      <c r="B25" s="2" t="s">
        <v>64</v>
      </c>
      <c r="C25" s="2" t="s">
        <v>8</v>
      </c>
      <c r="D25" s="2" t="s">
        <v>65</v>
      </c>
      <c r="E25" s="2" t="n">
        <v>34</v>
      </c>
    </row>
    <row r="26" customFormat="false" ht="15" hidden="false" customHeight="false" outlineLevel="0" collapsed="false">
      <c r="A26" s="2" t="s">
        <v>55</v>
      </c>
      <c r="B26" s="2" t="s">
        <v>7</v>
      </c>
      <c r="C26" s="2" t="s">
        <v>11</v>
      </c>
      <c r="D26" s="2" t="s">
        <v>56</v>
      </c>
      <c r="E26" s="2" t="n">
        <v>31</v>
      </c>
    </row>
    <row r="27" customFormat="false" ht="15" hidden="false" customHeight="false" outlineLevel="0" collapsed="false">
      <c r="A27" s="2" t="s">
        <v>74</v>
      </c>
      <c r="B27" s="2" t="s">
        <v>64</v>
      </c>
      <c r="C27" s="2" t="s">
        <v>11</v>
      </c>
      <c r="D27" s="2" t="s">
        <v>75</v>
      </c>
      <c r="E27" s="2" t="n">
        <v>30</v>
      </c>
    </row>
    <row r="28" customFormat="false" ht="15" hidden="false" customHeight="false" outlineLevel="0" collapsed="false">
      <c r="A28" s="2" t="s">
        <v>106</v>
      </c>
      <c r="B28" s="2" t="s">
        <v>64</v>
      </c>
      <c r="C28" s="2" t="s">
        <v>8</v>
      </c>
      <c r="D28" s="2" t="s">
        <v>107</v>
      </c>
      <c r="E28" s="2" t="n">
        <v>32</v>
      </c>
    </row>
    <row r="29" customFormat="false" ht="15" hidden="false" customHeight="false" outlineLevel="0" collapsed="false">
      <c r="A29" s="2" t="s">
        <v>213</v>
      </c>
      <c r="B29" s="2" t="s">
        <v>170</v>
      </c>
      <c r="C29" s="2" t="s">
        <v>8</v>
      </c>
      <c r="D29" s="2" t="s">
        <v>214</v>
      </c>
      <c r="E29" s="2" t="n">
        <v>23</v>
      </c>
    </row>
    <row r="30" customFormat="false" ht="15" hidden="false" customHeight="false" outlineLevel="0" collapsed="false">
      <c r="A30" s="2" t="s">
        <v>41</v>
      </c>
      <c r="B30" s="2" t="s">
        <v>7</v>
      </c>
      <c r="C30" s="2" t="s">
        <v>27</v>
      </c>
      <c r="D30" s="2" t="s">
        <v>42</v>
      </c>
      <c r="E30" s="2" t="n">
        <v>29</v>
      </c>
    </row>
    <row r="31" customFormat="false" ht="15" hidden="false" customHeight="false" outlineLevel="0" collapsed="false">
      <c r="A31" s="2" t="s">
        <v>100</v>
      </c>
      <c r="B31" s="2" t="s">
        <v>64</v>
      </c>
      <c r="C31" s="2" t="s">
        <v>11</v>
      </c>
      <c r="D31" s="2" t="s">
        <v>101</v>
      </c>
      <c r="E31" s="2" t="n">
        <v>30</v>
      </c>
    </row>
    <row r="32" customFormat="false" ht="15" hidden="false" customHeight="false" outlineLevel="0" collapsed="false">
      <c r="A32" s="2" t="s">
        <v>189</v>
      </c>
      <c r="B32" s="2" t="s">
        <v>170</v>
      </c>
      <c r="C32" s="2" t="s">
        <v>27</v>
      </c>
      <c r="D32" s="2" t="s">
        <v>190</v>
      </c>
      <c r="E32" s="2" t="n">
        <v>29</v>
      </c>
    </row>
    <row r="33" customFormat="false" ht="15" hidden="false" customHeight="false" outlineLevel="0" collapsed="false">
      <c r="A33" s="2" t="s">
        <v>191</v>
      </c>
      <c r="B33" s="2" t="s">
        <v>170</v>
      </c>
      <c r="C33" s="2" t="s">
        <v>20</v>
      </c>
      <c r="D33" s="2" t="s">
        <v>192</v>
      </c>
      <c r="E33" s="2" t="n">
        <v>25</v>
      </c>
    </row>
    <row r="34" customFormat="false" ht="15" hidden="false" customHeight="false" outlineLevel="0" collapsed="false">
      <c r="A34" s="2" t="s">
        <v>29</v>
      </c>
      <c r="B34" s="2" t="s">
        <v>7</v>
      </c>
      <c r="C34" s="2" t="s">
        <v>27</v>
      </c>
      <c r="D34" s="2" t="s">
        <v>30</v>
      </c>
      <c r="E34" s="2" t="n">
        <v>28</v>
      </c>
    </row>
    <row r="35" customFormat="false" ht="15" hidden="false" customHeight="false" outlineLevel="0" collapsed="false">
      <c r="A35" s="2" t="s">
        <v>78</v>
      </c>
      <c r="B35" s="2" t="s">
        <v>64</v>
      </c>
      <c r="C35" s="2" t="s">
        <v>27</v>
      </c>
      <c r="D35" s="2" t="s">
        <v>79</v>
      </c>
      <c r="E35" s="2" t="n">
        <v>25</v>
      </c>
    </row>
    <row r="36" customFormat="false" ht="15" hidden="false" customHeight="false" outlineLevel="0" collapsed="false">
      <c r="A36" s="2" t="s">
        <v>123</v>
      </c>
      <c r="B36" s="2" t="s">
        <v>117</v>
      </c>
      <c r="C36" s="2" t="s">
        <v>11</v>
      </c>
      <c r="D36" s="2" t="s">
        <v>124</v>
      </c>
      <c r="E36" s="2" t="n">
        <v>29</v>
      </c>
    </row>
    <row r="37" customFormat="false" ht="15" hidden="false" customHeight="false" outlineLevel="0" collapsed="false">
      <c r="A37" s="2" t="s">
        <v>219</v>
      </c>
      <c r="B37" s="2" t="s">
        <v>170</v>
      </c>
      <c r="C37" s="2" t="s">
        <v>27</v>
      </c>
      <c r="D37" s="2" t="s">
        <v>220</v>
      </c>
      <c r="E37" s="2" t="n">
        <v>23</v>
      </c>
    </row>
    <row r="38" customFormat="false" ht="15" hidden="false" customHeight="false" outlineLevel="0" collapsed="false">
      <c r="A38" s="2" t="s">
        <v>68</v>
      </c>
      <c r="B38" s="2" t="s">
        <v>64</v>
      </c>
      <c r="C38" s="2" t="s">
        <v>11</v>
      </c>
      <c r="D38" s="2" t="s">
        <v>69</v>
      </c>
      <c r="E38" s="2" t="n">
        <v>29</v>
      </c>
    </row>
    <row r="39" customFormat="false" ht="15" hidden="false" customHeight="false" outlineLevel="0" collapsed="false">
      <c r="A39" s="2" t="s">
        <v>92</v>
      </c>
      <c r="B39" s="2" t="s">
        <v>64</v>
      </c>
      <c r="C39" s="2" t="s">
        <v>27</v>
      </c>
      <c r="D39" s="2" t="s">
        <v>93</v>
      </c>
      <c r="E39" s="2" t="n">
        <v>30</v>
      </c>
    </row>
    <row r="40" customFormat="false" ht="15" hidden="false" customHeight="false" outlineLevel="0" collapsed="false">
      <c r="A40" s="2" t="s">
        <v>19</v>
      </c>
      <c r="B40" s="2" t="s">
        <v>7</v>
      </c>
      <c r="C40" s="2" t="s">
        <v>20</v>
      </c>
      <c r="D40" s="2" t="s">
        <v>21</v>
      </c>
      <c r="E40" s="2" t="n">
        <v>26</v>
      </c>
    </row>
    <row r="41" customFormat="false" ht="15" hidden="false" customHeight="false" outlineLevel="0" collapsed="false">
      <c r="A41" s="2" t="s">
        <v>119</v>
      </c>
      <c r="B41" s="2" t="s">
        <v>117</v>
      </c>
      <c r="C41" s="2" t="s">
        <v>11</v>
      </c>
      <c r="D41" s="2" t="s">
        <v>120</v>
      </c>
      <c r="E41" s="2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5" t="s">
        <v>231</v>
      </c>
      <c r="B1" s="5"/>
      <c r="C1" s="5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232</v>
      </c>
      <c r="B3" s="2"/>
    </row>
    <row r="4" customFormat="false" ht="15" hidden="false" customHeight="false" outlineLevel="0" collapsed="false">
      <c r="A4" s="2" t="s">
        <v>230</v>
      </c>
      <c r="B4" s="2" t="n">
        <f aca="false">COUNT('Random Sample'!E2:E41)</f>
        <v>40</v>
      </c>
    </row>
    <row r="5" customFormat="false" ht="15" hidden="false" customHeight="false" outlineLevel="0" collapsed="false">
      <c r="A5" s="2" t="s">
        <v>233</v>
      </c>
      <c r="B5" s="2" t="n">
        <f aca="false">AVERAGE('Random Sample'!E2:E41)</f>
        <v>27.575</v>
      </c>
    </row>
    <row r="6" customFormat="false" ht="15" hidden="false" customHeight="false" outlineLevel="0" collapsed="false">
      <c r="A6" s="2" t="s">
        <v>234</v>
      </c>
      <c r="B6" s="2" t="n">
        <f aca="false">MEDIAN('Random Sample'!E2:E41)</f>
        <v>27</v>
      </c>
    </row>
    <row r="7" customFormat="false" ht="15" hidden="false" customHeight="false" outlineLevel="0" collapsed="false">
      <c r="A7" s="2" t="s">
        <v>235</v>
      </c>
      <c r="B7" s="2" t="n">
        <f aca="false">STDEV('Random Sample'!E2:E41)</f>
        <v>4.12551473089987</v>
      </c>
    </row>
    <row r="8" customFormat="false" ht="15" hidden="false" customHeight="false" outlineLevel="0" collapsed="false">
      <c r="A8" s="2" t="s">
        <v>236</v>
      </c>
      <c r="B8" s="2" t="n">
        <f aca="false">VAR('Random Sample'!E2:E41)</f>
        <v>17.0198717948718</v>
      </c>
    </row>
    <row r="9" customFormat="false" ht="15" hidden="false" customHeight="false" outlineLevel="0" collapsed="false">
      <c r="A9" s="2" t="s">
        <v>237</v>
      </c>
      <c r="B9" s="2" t="n">
        <f aca="false">MIN('Random Sample'!E2:E41)</f>
        <v>17</v>
      </c>
    </row>
    <row r="10" customFormat="false" ht="15" hidden="false" customHeight="false" outlineLevel="0" collapsed="false">
      <c r="A10" s="2" t="s">
        <v>238</v>
      </c>
      <c r="B10" s="2" t="n">
        <f aca="false">MAX('Random Sample'!E2:E41)</f>
        <v>40</v>
      </c>
    </row>
    <row r="11" customFormat="false" ht="15" hidden="false" customHeight="false" outlineLevel="0" collapsed="false">
      <c r="A11" s="2" t="s">
        <v>239</v>
      </c>
      <c r="B11" s="2" t="n">
        <f aca="false">MAX('Random Sample'!E2:E41)-MIN('Random Sample'!E2:E41)</f>
        <v>23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240</v>
      </c>
      <c r="B13" s="2"/>
    </row>
    <row r="14" customFormat="false" ht="15" hidden="false" customHeight="false" outlineLevel="0" collapsed="false">
      <c r="A14" s="2" t="s">
        <v>241</v>
      </c>
      <c r="B14" s="4" t="n">
        <v>0.95</v>
      </c>
    </row>
    <row r="15" customFormat="false" ht="15" hidden="false" customHeight="false" outlineLevel="0" collapsed="false">
      <c r="A15" s="2" t="s">
        <v>242</v>
      </c>
      <c r="B15" s="2" t="n">
        <f aca="false">B7/SQRT(B4)</f>
        <v>0.65230115351101</v>
      </c>
    </row>
    <row r="16" customFormat="false" ht="15" hidden="false" customHeight="false" outlineLevel="0" collapsed="false">
      <c r="A16" s="2" t="s">
        <v>243</v>
      </c>
      <c r="B16" s="2" t="n">
        <f aca="false">_xlfn.T.INV.2T(1-B14,B4-1)</f>
        <v>2.02269092003676</v>
      </c>
    </row>
    <row r="17" customFormat="false" ht="15" hidden="false" customHeight="false" outlineLevel="0" collapsed="false">
      <c r="A17" s="2" t="s">
        <v>244</v>
      </c>
      <c r="B17" s="2" t="n">
        <f aca="false">B16*B15</f>
        <v>1.31940362033623</v>
      </c>
    </row>
    <row r="18" customFormat="false" ht="15" hidden="false" customHeight="false" outlineLevel="0" collapsed="false">
      <c r="A18" s="2" t="s">
        <v>245</v>
      </c>
      <c r="B18" s="2" t="n">
        <f aca="false">B5-B17</f>
        <v>26.2555963796638</v>
      </c>
    </row>
    <row r="19" customFormat="false" ht="15" hidden="false" customHeight="false" outlineLevel="0" collapsed="false">
      <c r="A19" s="2" t="s">
        <v>246</v>
      </c>
      <c r="B19" s="2" t="n">
        <f aca="false">B5+B17</f>
        <v>28.8944036203362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3" t="s">
        <v>247</v>
      </c>
      <c r="B21" s="2"/>
    </row>
    <row r="22" customFormat="false" ht="15" hidden="false" customHeight="false" outlineLevel="0" collapsed="false">
      <c r="A22" s="6" t="s">
        <v>248</v>
      </c>
      <c r="B22" s="2"/>
    </row>
    <row r="23" customFormat="false" ht="15" hidden="false" customHeight="false" outlineLevel="0" collapsed="false">
      <c r="A23" s="2" t="s">
        <v>249</v>
      </c>
      <c r="B23" s="4" t="n">
        <v>26.5789473684211</v>
      </c>
    </row>
    <row r="24" customFormat="false" ht="15" hidden="false" customHeight="false" outlineLevel="0" collapsed="false">
      <c r="A24" s="2" t="s">
        <v>250</v>
      </c>
      <c r="B24" s="2" t="n">
        <f aca="false">COUNT('Midfielder Sample'!A2:A23)</f>
        <v>22</v>
      </c>
    </row>
    <row r="25" customFormat="false" ht="15" hidden="false" customHeight="false" outlineLevel="0" collapsed="false">
      <c r="A25" s="2" t="s">
        <v>251</v>
      </c>
      <c r="B25" s="2" t="n">
        <f aca="false">AVERAGE('Midfielder Sample'!A2:A23)</f>
        <v>27</v>
      </c>
    </row>
    <row r="26" customFormat="false" ht="15" hidden="false" customHeight="false" outlineLevel="0" collapsed="false">
      <c r="A26" s="2" t="s">
        <v>252</v>
      </c>
      <c r="B26" s="2" t="n">
        <f aca="false">STDEV('Midfielder Sample'!A2:A23)</f>
        <v>4</v>
      </c>
    </row>
    <row r="27" customFormat="false" ht="15" hidden="false" customHeight="false" outlineLevel="0" collapsed="false">
      <c r="A27" s="2" t="s">
        <v>253</v>
      </c>
      <c r="B27" s="2" t="n">
        <f aca="false">(B25-B23)/(B26/SQRT(B24))</f>
        <v>0.493727974718257</v>
      </c>
    </row>
    <row r="28" customFormat="false" ht="15" hidden="false" customHeight="false" outlineLevel="0" collapsed="false">
      <c r="A28" s="2" t="s">
        <v>254</v>
      </c>
      <c r="B28" s="2" t="n">
        <f aca="false">B24-1</f>
        <v>21</v>
      </c>
    </row>
    <row r="29" customFormat="false" ht="15" hidden="false" customHeight="false" outlineLevel="0" collapsed="false">
      <c r="A29" s="2" t="s">
        <v>255</v>
      </c>
      <c r="B29" s="2" t="n">
        <f aca="false">_xlfn.T.DIST.2T(ABS(B27),B28)</f>
        <v>0.626622640213518</v>
      </c>
    </row>
    <row r="30" customFormat="false" ht="15" hidden="false" customHeight="false" outlineLevel="0" collapsed="false">
      <c r="A30" s="2" t="s">
        <v>256</v>
      </c>
      <c r="B30" s="2" t="str">
        <f aca="false">IF(B29&lt;0.05,"Reject H0: significant age difference","Fail to reject H0: no significant difference")</f>
        <v>Fail to reject H0: no significant difference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n">
        <v>27</v>
      </c>
    </row>
    <row r="3" customFormat="false" ht="15" hidden="false" customHeight="false" outlineLevel="0" collapsed="false">
      <c r="A3" s="2" t="n">
        <v>29</v>
      </c>
    </row>
    <row r="4" customFormat="false" ht="15" hidden="false" customHeight="false" outlineLevel="0" collapsed="false">
      <c r="A4" s="2" t="n">
        <v>28</v>
      </c>
    </row>
    <row r="5" customFormat="false" ht="15" hidden="false" customHeight="false" outlineLevel="0" collapsed="false">
      <c r="A5" s="2" t="n">
        <v>30</v>
      </c>
    </row>
    <row r="6" customFormat="false" ht="15" hidden="false" customHeight="false" outlineLevel="0" collapsed="false">
      <c r="A6" s="2" t="n">
        <v>29</v>
      </c>
    </row>
    <row r="7" customFormat="false" ht="15" hidden="false" customHeight="false" outlineLevel="0" collapsed="false">
      <c r="A7" s="2" t="n">
        <v>25</v>
      </c>
    </row>
    <row r="8" customFormat="false" ht="15" hidden="false" customHeight="false" outlineLevel="0" collapsed="false">
      <c r="A8" s="2" t="n">
        <v>24</v>
      </c>
    </row>
    <row r="9" customFormat="false" ht="15" hidden="false" customHeight="false" outlineLevel="0" collapsed="false">
      <c r="A9" s="2" t="n">
        <v>35</v>
      </c>
    </row>
    <row r="10" customFormat="false" ht="15" hidden="false" customHeight="false" outlineLevel="0" collapsed="false">
      <c r="A10" s="2" t="n">
        <v>25</v>
      </c>
    </row>
    <row r="11" customFormat="false" ht="15" hidden="false" customHeight="false" outlineLevel="0" collapsed="false">
      <c r="A11" s="2" t="n">
        <v>26</v>
      </c>
    </row>
    <row r="12" customFormat="false" ht="15" hidden="false" customHeight="false" outlineLevel="0" collapsed="false">
      <c r="A12" s="2" t="n">
        <v>20</v>
      </c>
    </row>
    <row r="13" customFormat="false" ht="15" hidden="false" customHeight="false" outlineLevel="0" collapsed="false">
      <c r="A13" s="2" t="n">
        <v>33</v>
      </c>
    </row>
    <row r="14" customFormat="false" ht="15" hidden="false" customHeight="false" outlineLevel="0" collapsed="false">
      <c r="A14" s="2" t="n">
        <v>17</v>
      </c>
    </row>
    <row r="15" customFormat="false" ht="15" hidden="false" customHeight="false" outlineLevel="0" collapsed="false">
      <c r="A15" s="2" t="n">
        <v>25</v>
      </c>
    </row>
    <row r="16" customFormat="false" ht="15" hidden="false" customHeight="false" outlineLevel="0" collapsed="false">
      <c r="A16" s="2" t="n">
        <v>27</v>
      </c>
    </row>
    <row r="17" customFormat="false" ht="15" hidden="false" customHeight="false" outlineLevel="0" collapsed="false">
      <c r="A17" s="2" t="n">
        <v>24</v>
      </c>
    </row>
    <row r="18" customFormat="false" ht="15" hidden="false" customHeight="false" outlineLevel="0" collapsed="false">
      <c r="A18" s="2" t="n">
        <v>31</v>
      </c>
    </row>
    <row r="19" customFormat="false" ht="15" hidden="false" customHeight="false" outlineLevel="0" collapsed="false">
      <c r="A19" s="2" t="n">
        <v>29</v>
      </c>
    </row>
    <row r="20" customFormat="false" ht="15" hidden="false" customHeight="false" outlineLevel="0" collapsed="false">
      <c r="A20" s="2" t="n">
        <v>25</v>
      </c>
    </row>
    <row r="21" customFormat="false" ht="15" hidden="false" customHeight="false" outlineLevel="0" collapsed="false">
      <c r="A21" s="2" t="n">
        <v>30</v>
      </c>
    </row>
    <row r="22" customFormat="false" ht="15" hidden="false" customHeight="false" outlineLevel="0" collapsed="false">
      <c r="A22" s="2" t="n">
        <v>26</v>
      </c>
    </row>
    <row r="23" customFormat="false" ht="15" hidden="false" customHeight="false" outlineLevel="0" collapsed="false">
      <c r="A23" s="2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257</v>
      </c>
      <c r="B1" s="1" t="s">
        <v>258</v>
      </c>
    </row>
    <row r="2" customFormat="false" ht="15" hidden="false" customHeight="false" outlineLevel="0" collapsed="false">
      <c r="A2" s="2" t="s">
        <v>259</v>
      </c>
      <c r="B2" s="2" t="n">
        <v>1</v>
      </c>
    </row>
    <row r="3" customFormat="false" ht="15" hidden="false" customHeight="false" outlineLevel="0" collapsed="false">
      <c r="A3" s="2" t="s">
        <v>260</v>
      </c>
      <c r="B3" s="2" t="n">
        <v>6</v>
      </c>
    </row>
    <row r="4" customFormat="false" ht="15" hidden="false" customHeight="false" outlineLevel="0" collapsed="false">
      <c r="A4" s="2" t="s">
        <v>261</v>
      </c>
      <c r="B4" s="2" t="n">
        <v>17</v>
      </c>
    </row>
    <row r="5" customFormat="false" ht="15" hidden="false" customHeight="false" outlineLevel="0" collapsed="false">
      <c r="A5" s="2" t="s">
        <v>262</v>
      </c>
      <c r="B5" s="2" t="n">
        <v>12</v>
      </c>
    </row>
    <row r="6" customFormat="false" ht="15" hidden="false" customHeight="false" outlineLevel="0" collapsed="false">
      <c r="A6" s="2" t="s">
        <v>263</v>
      </c>
      <c r="B6" s="2" t="n">
        <v>3</v>
      </c>
    </row>
    <row r="7" customFormat="false" ht="15" hidden="false" customHeight="false" outlineLevel="0" collapsed="false">
      <c r="A7" s="2" t="s">
        <v>264</v>
      </c>
      <c r="B7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2026-08-26T05:54:38Z</dcterms:created>
  <dc:creator>openpyxl</dc:creator>
  <dc:description/>
  <dc:language>en-US</dc:language>
  <cp:lastModifiedBy/>
  <dcterms:modified xsi:type="dcterms:W3CDTF">2026-08-26T05:54:40Z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